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diego/Proyectos/pagos-unal-skill/Formatos/"/>
    </mc:Choice>
  </mc:AlternateContent>
  <xr:revisionPtr revIDLastSave="0" documentId="13_ncr:1_{8353914B-435E-6E41-B31A-D51EC31D9C3B}" xr6:coauthVersionLast="47" xr6:coauthVersionMax="47" xr10:uidLastSave="{00000000-0000-0000-0000-000000000000}"/>
  <bookViews>
    <workbookView xWindow="0" yWindow="0" windowWidth="19200" windowHeight="6820" activeTab="1" xr2:uid="{00000000-000D-0000-FFFF-FFFF00000000}"/>
  </bookViews>
  <sheets>
    <sheet name="Instrucciones" sheetId="1" r:id="rId1"/>
    <sheet name="Certificación Mensual" sheetId="2" r:id="rId2"/>
    <sheet name="Datos" sheetId="3" state="hidden" r:id="rId3"/>
  </sheets>
  <definedNames>
    <definedName name="IBCmensualizado">Datos!$B$18</definedName>
    <definedName name="ListaCondicional">IF( AND('Certificación Mensual'!$C$41='Certificación Mensual'!$C$42, NOT(ISBLANK('Certificación Mensual'!$C$41)),NOT(ISBLANK('Certificación Mensual'!$C$42))),Datos!$K$2:$K$3,"NO" )</definedName>
    <definedName name="Pension">Datos!$B$7</definedName>
    <definedName name="Pensionado">'Certificación Mensual'!$G$18</definedName>
    <definedName name="Porcentaje_IBC">Datos!$B$5</definedName>
    <definedName name="Salario_Minimo">Datos!$B$3</definedName>
    <definedName name="Salud">Datos!$B$6</definedName>
    <definedName name="UVT">Datos!$B$4</definedName>
    <definedName name="Vigencia">Datos!$B$2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6WpsSGIMWnt02xM4ZR65bfS/h8dH6zr7DWduokq3XaM="/>
    </ext>
  </extLst>
</workbook>
</file>

<file path=xl/calcChain.xml><?xml version="1.0" encoding="utf-8"?>
<calcChain xmlns="http://schemas.openxmlformats.org/spreadsheetml/2006/main">
  <c r="I15" i="3" l="1" a="1"/>
  <c r="I15" i="3"/>
  <c r="B15" i="3"/>
  <c r="I14" i="3" a="1"/>
  <c r="I14" i="3" s="1"/>
  <c r="B14" i="3"/>
  <c r="I13" i="3" a="1"/>
  <c r="I13" i="3" s="1"/>
  <c r="B13" i="3"/>
  <c r="I12" i="3" a="1"/>
  <c r="I12" i="3" s="1"/>
  <c r="B12" i="3"/>
  <c r="I11" i="3" a="1"/>
  <c r="I11" i="3" s="1"/>
  <c r="B11" i="3"/>
  <c r="C56" i="2"/>
  <c r="B56" i="2" s="1"/>
  <c r="C15" i="3" s="1"/>
  <c r="D15" i="3" s="1"/>
  <c r="C55" i="2"/>
  <c r="B55" i="2" s="1"/>
  <c r="C54" i="2"/>
  <c r="B54" i="2" s="1"/>
  <c r="C53" i="2"/>
  <c r="B53" i="2" s="1"/>
  <c r="C12" i="3" s="1"/>
  <c r="D12" i="3" s="1"/>
  <c r="C52" i="2"/>
  <c r="B52" i="2" s="1"/>
  <c r="H48" i="2"/>
  <c r="H47" i="2"/>
  <c r="F28" i="2"/>
  <c r="B11" i="2"/>
  <c r="B7" i="2"/>
  <c r="J12" i="3" l="1"/>
  <c r="C13" i="3"/>
  <c r="D13" i="3" s="1"/>
  <c r="D54" i="2"/>
  <c r="F15" i="3"/>
  <c r="E15" i="3"/>
  <c r="H15" i="3" s="1"/>
  <c r="G15" i="3"/>
  <c r="D52" i="2"/>
  <c r="B57" i="2"/>
  <c r="B33" i="2" s="1"/>
  <c r="C11" i="3"/>
  <c r="G12" i="3"/>
  <c r="E12" i="3"/>
  <c r="H12" i="3" s="1"/>
  <c r="F12" i="3"/>
  <c r="J15" i="3"/>
  <c r="D53" i="2"/>
  <c r="C14" i="3"/>
  <c r="D14" i="3" s="1"/>
  <c r="D55" i="2"/>
  <c r="D56" i="2"/>
  <c r="J13" i="3" l="1"/>
  <c r="G13" i="3"/>
  <c r="F13" i="3"/>
  <c r="E13" i="3"/>
  <c r="H13" i="3" s="1"/>
  <c r="C16" i="3"/>
  <c r="D11" i="3"/>
  <c r="E14" i="3"/>
  <c r="H14" i="3" s="1"/>
  <c r="G14" i="3"/>
  <c r="F14" i="3"/>
  <c r="J14" i="3"/>
  <c r="G11" i="3" l="1"/>
  <c r="G16" i="3" s="1"/>
  <c r="I37" i="2" s="1"/>
  <c r="D16" i="3"/>
  <c r="E11" i="3"/>
  <c r="F11" i="3"/>
  <c r="F16" i="3" s="1"/>
  <c r="I36" i="2" s="1"/>
  <c r="J11" i="3"/>
  <c r="B19" i="3"/>
  <c r="B18" i="3"/>
  <c r="F54" i="2" l="1"/>
  <c r="F56" i="2"/>
  <c r="F55" i="2"/>
  <c r="F52" i="2"/>
  <c r="F53" i="2"/>
  <c r="H18" i="3"/>
  <c r="H11" i="3"/>
  <c r="E16" i="3"/>
  <c r="H16" i="3" s="1"/>
  <c r="I38" i="2" s="1"/>
  <c r="J16" i="3" a="1"/>
  <c r="J16" i="3" s="1"/>
  <c r="I39" i="2" s="1"/>
  <c r="D57" i="2"/>
  <c r="G54" i="2"/>
  <c r="G56" i="2"/>
  <c r="G55" i="2"/>
  <c r="G53" i="2"/>
  <c r="G52" i="2"/>
  <c r="H54" i="2" l="1"/>
  <c r="I54" i="2" s="1"/>
  <c r="H55" i="2"/>
  <c r="I55" i="2" s="1"/>
  <c r="H53" i="2"/>
  <c r="I53" i="2" s="1"/>
  <c r="H56" i="2"/>
  <c r="I56" i="2" s="1"/>
  <c r="H52" i="2"/>
  <c r="I52" i="2" s="1"/>
  <c r="I40" i="2"/>
  <c r="I5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6" authorId="0" shapeId="0" xr:uid="{00000000-0006-0000-0200-000001000000}">
      <text>
        <r>
          <rPr>
            <sz val="10"/>
            <color rgb="FF000000"/>
            <rFont val="Arial"/>
            <family val="2"/>
            <scheme val="minor"/>
          </rPr>
          <t>======
ID#AAABvkUu9nU
UNIVERSIDAD NACIONAL    (2026-02-27 20:26:01)
Por el tema de operador de planilla no es posible modificar el IBC para pago de ARL, cuando hay riesgo 4 o 5. Calcula el mayor riesgo (de 1 a 3) sobre el IBC mensualizado (totalidad de contratos)</t>
        </r>
      </text>
    </comment>
  </commentList>
  <extLst>
    <ext xmlns:r="http://schemas.openxmlformats.org/officeDocument/2006/relationships" uri="GoogleSheetsCustomDataVersion2">
      <go:sheetsCustomData xmlns:go="http://customooxmlschemas.google.com/" r:id="rId1" roundtripDataSignature="AMtx7mgAwLOaJMX9djCewKyzcvs1YLSJyQ=="/>
    </ext>
  </extLst>
</comments>
</file>

<file path=xl/sharedStrings.xml><?xml version="1.0" encoding="utf-8"?>
<sst xmlns="http://schemas.openxmlformats.org/spreadsheetml/2006/main" count="161" uniqueCount="137">
  <si>
    <t xml:space="preserve">INSTRUCCIONES DE DILIGENCIAMIENTO </t>
  </si>
  <si>
    <r>
      <rPr>
        <sz val="10"/>
        <color theme="1"/>
        <rFont val="Ancizar Sans"/>
      </rPr>
      <t>Este es un formato mediante el cual usted declara que pertenece a la cédula de Rentas de Trabajo establecida en el artículo103 del Estatuto Tributario, y que la información suministrada es fidedigna y corresponde a los soportes que permiten obtener las deducciones y rentas exentas para aplicar en los contratos de prestación de servicios suscritos con la Universidad Nacional de Colombia.</t>
    </r>
    <r>
      <rPr>
        <b/>
        <sz val="10"/>
        <color theme="1"/>
        <rFont val="Ancizar Sans"/>
      </rPr>
      <t xml:space="preserve">
La finalidad del formato es para efectos tributarios y de control.</t>
    </r>
  </si>
  <si>
    <t>¿EN QUÉ CASOS UNA PERSONA NATURAL PERTENECE A LA CÉDULA DE RENTAS DE TRABAJO?</t>
  </si>
  <si>
    <t>¿EN QUÉ CASOS UNA PERSONA NATURAL NO PERTENECE A LA CÉDULA DE RENTAS DE TRABAJO?</t>
  </si>
  <si>
    <t>Se considera que una persona natural pertenece a la cédula de Rentas de Trabajo cuando:
 - Presta el servicio personalmente.
 - No tiene empleados ejecutando el contrato.
 - No existe una empresa o estructura empresarial detrás del servicio.
 - El ingreso depende directamente de su trabajo y conocimiento.
 - Declara anualmente sus ingresos como rentas de trabajo.</t>
  </si>
  <si>
    <t>Se considera que una persona natural no pertenece a la cédula de Rentas de Trabajo cuando:
 - Tiene personal contratado que ejecuta el servicio.
 - Existe venta o comercialización de equipos, materiales, insumos o mercancías en general.
 - Se realizan arreglos locativos que incluyen materiales.
 - El ingreso corresponde a una actividad comercial.
 - Declara el ingreso con costos y gastos asociados.</t>
  </si>
  <si>
    <t>1. DATOS GENERALES</t>
  </si>
  <si>
    <t>Nombre del Contratista:</t>
  </si>
  <si>
    <t>Registre su nombre completo tal como aparece en su documento de identidad.</t>
  </si>
  <si>
    <t>Tipo y número de documento de identificación</t>
  </si>
  <si>
    <t>Indique el tipo de documento (CC, CE, etc.) y el número correspondiente.</t>
  </si>
  <si>
    <t>Correo institucional</t>
  </si>
  <si>
    <t xml:space="preserve">Registre el correo incluido el @unal.edu.co, si no tienen un correo institucional por favor dejar en blanco  </t>
  </si>
  <si>
    <t>Fecha de diligenciamiento</t>
  </si>
  <si>
    <t>Indique la fecha en la que diligencia este formato.</t>
  </si>
  <si>
    <t>¿Es usted pensionado ?</t>
  </si>
  <si>
    <t xml:space="preserve">Seleccione “SI" únicamente si aplica al menos una de estas condiciones:
1. Ya cuenta con pensión reconocida.
2. Cumple las semanas cotizadas exigidas para pensionarse.
3.Obtuvo devolución de saldos o indemnización sustitutiva, según corresponda. </t>
  </si>
  <si>
    <t>2. RELACIÓN DE CONTRATOS QUE ORIGINAN PAGOS</t>
  </si>
  <si>
    <t>Empresa en QUIPU</t>
  </si>
  <si>
    <t>Corresponde al código de la empresa en la cual se encuentra registrada su orden contractual. Este dato lo puede obtener del Formato: Comunicación de legalización de orden contractual o contrato "Empresa (Código QUIPU)"</t>
  </si>
  <si>
    <t>Tipo Orden Contractual</t>
  </si>
  <si>
    <t>Indique el tipo de de la orden o contrato vigente.</t>
  </si>
  <si>
    <t xml:space="preserve">Número orden contractual </t>
  </si>
  <si>
    <t>Registre unicamente el número de la orden o contrato vigente.</t>
  </si>
  <si>
    <t>Valor total del contrato antes de IVA</t>
  </si>
  <si>
    <t>Indique el valor total del contrato sin incluir IVA.</t>
  </si>
  <si>
    <t>Fecha de inicio</t>
  </si>
  <si>
    <t>Registre la fecha de inicio del contrato en formato dd/mm/aaaa</t>
  </si>
  <si>
    <t xml:space="preserve">Fecha de terminación </t>
  </si>
  <si>
    <t>Registre la fecha de finalización del contrato en formato dd/mm/aaaa</t>
  </si>
  <si>
    <t>Clase de riesgos laborales</t>
  </si>
  <si>
    <t>Indique la clase de riesgo asignado el cual se puede verificar en el certificado de afiliación a la ARL</t>
  </si>
  <si>
    <t>3. ANEXOS: DOCUMENTOS PARA SOPORTE DE DEDUCCIONES</t>
  </si>
  <si>
    <t>Esta sección aplica solo si desea solicitar deducciones y si sus ingresos mensualizados son superiores a 95 UVT.
Marque y adjunte únicamente los documentos que apliquen a su caso. Si no adjunta los soportes correctos, no se aplicarán las deducciones.
Las deducciones se aplicarán unicamente a un solo contrato.</t>
  </si>
  <si>
    <t>Solicito aplicar mis deducciones al contrato No.</t>
  </si>
  <si>
    <r>
      <rPr>
        <sz val="10"/>
        <color theme="1"/>
        <rFont val="Ancizar Sans"/>
      </rPr>
      <t xml:space="preserve">Seleccione de la lista desplegable la información del contrato al que solicita aplicar las deducciones. </t>
    </r>
    <r>
      <rPr>
        <b/>
        <sz val="10"/>
        <color theme="1"/>
        <rFont val="Ancizar Sans"/>
      </rPr>
      <t>Este campo es obligatorio; la falta de diligenciamiento será causal de devolución.</t>
    </r>
  </si>
  <si>
    <t>Formato de Certificado de dependientes</t>
  </si>
  <si>
    <t xml:space="preserve">Formato U.FT.12.010.077 Declaración para la deducción de pagos por dependientes  (máximo 4) - con sus documentos anexos  </t>
  </si>
  <si>
    <t>Certificado de intereses o corrección monetaria por préstamos para adquisición de vivienda</t>
  </si>
  <si>
    <t>Certificado expedido por la entidad financiera del año gravable anterior</t>
  </si>
  <si>
    <t>Certificado de cuentas de ahorro y pago de aporte mensual para el fomento de la construcción - AFC</t>
  </si>
  <si>
    <t>Certificado expedido por la entidad financiera donde constan los aportes realizados a una cuenta AFC en el año gravable anterior.
Para hacer posible la deducción se debe anexar adicionalmente una autorización por parte del contratista que autorice la transferencia a la cuenta AFC por parte de la Universidad.</t>
  </si>
  <si>
    <t xml:space="preserve">Certificado de seguro de salud - Póliza </t>
  </si>
  <si>
    <t>Factura o certificación de la aseguradora, acompañada del comprobante de pago, correspondiente al período del pago</t>
  </si>
  <si>
    <t>Comprobante de pago mensual de Medicina Prepagada</t>
  </si>
  <si>
    <t>Factura y comprobante de pago emitidos por la entidad de medicina prepagada siempre que corresponda al mismo período del pago solicitado.</t>
  </si>
  <si>
    <t>Aportes voluntarios a pensión - AVP</t>
  </si>
  <si>
    <t>Certificado anual de Aportes Voluntarios a Pensión, expedido por el fondo de pensiones (público o privado) del año anterior.
Para hacer posible la deducción se debe anexar adicionalmente una autorización por parte del contratista que autorice el pago de AVP por parte de la Universidad.</t>
  </si>
  <si>
    <t xml:space="preserve">Periodo de solicitud de pago </t>
  </si>
  <si>
    <r>
      <rPr>
        <sz val="10"/>
        <color theme="1"/>
        <rFont val="Ancizar Sans"/>
      </rPr>
      <t xml:space="preserve">Registre el periodo al cual corresponde la solicitud de pago. Debe estar en formato mm/yyyy 
</t>
    </r>
    <r>
      <rPr>
        <b/>
        <sz val="10"/>
        <color theme="1"/>
        <rFont val="Ancizar Sans"/>
      </rPr>
      <t>Ejemplo:</t>
    </r>
    <r>
      <rPr>
        <sz val="10"/>
        <color theme="1"/>
        <rFont val="Ancizar Sans"/>
      </rPr>
      <t xml:space="preserve"> 05/2026</t>
    </r>
  </si>
  <si>
    <t>Periodo de la planilla</t>
  </si>
  <si>
    <r>
      <rPr>
        <sz val="10"/>
        <color theme="1"/>
        <rFont val="Ancizar Sans"/>
      </rPr>
      <t xml:space="preserve">Indique el periodo de pago de la planilla de aportes al Sistema de Seguridad Social que adjunta como independiente. Debe estar en formato mm/yyyy. 
</t>
    </r>
    <r>
      <rPr>
        <b/>
        <sz val="10"/>
        <color theme="1"/>
        <rFont val="Ancizar Sans"/>
      </rPr>
      <t>Ejemplo:</t>
    </r>
    <r>
      <rPr>
        <sz val="10"/>
        <color theme="1"/>
        <rFont val="Ancizar Sans"/>
      </rPr>
      <t xml:space="preserve"> 05/2026</t>
    </r>
  </si>
  <si>
    <t>Declaración formal para disminución de base de retención</t>
  </si>
  <si>
    <t>Seleccione "SI" o "NO" segun corresponda. 
Seleccione “SI” únicamente si desea que se le aplique la disminución de la base de retención por los aportes al Sistema de Seguridad Social y siempre que el período de la solicitud de pago coincida con el período de la planilla efectivamente pagada.
En caso contrario seleccion "NO".</t>
  </si>
  <si>
    <t>4. CALCULO APORTES OBLIGATORIOS AL SISTEMA DE SEGURIDAD SOCIAL INTEGRAL (SGSSI) MENSUALES</t>
  </si>
  <si>
    <t>Esta sección calcula automaticamente los aportes obligatorios a salud, pensión, fondo de solidaridad y subsistencia (cuando aplica) y ARL (cuando aplica), con base en el Ingreso Base de Cotización (IBC) mensual.</t>
  </si>
  <si>
    <t>5. MENSUALIZACIÓN CONTRACTUAL</t>
  </si>
  <si>
    <t>Esta sección determina automaticamente el valor mensual del contrato teniendo en cuenta el número de meses de ejecución del mismo, y el ingreso base de cotización (IBC) para el calculo de los aportes al sistema de seguridad social.</t>
  </si>
  <si>
    <t xml:space="preserve">6. BASE DE RETENCIÓN MENSUALIZADA </t>
  </si>
  <si>
    <t>Esta sección calcula automaticamente la base sobre la cual se aplicará la retención en la fuente.</t>
  </si>
  <si>
    <t>7. FIRMA DEL CONTRATISTA</t>
  </si>
  <si>
    <t>Cuando el trámite se realice a través de la Central de Pagos, no se requiere firma, dado que el diligenciamiento y envío de la información mediante el usuario y contraseña asignados constituye firma electrónica y representa la manifestación expresa de voluntad del contratista. 
Cuando el trámite no se realice por la Central de Pagos, el formato deberá ser firmado por el contratista para su validez.</t>
  </si>
  <si>
    <t>Una vez finalice el diligenciamiento, guarde o imprima el archivo en formato PDF únicamente de la hoja de Certificación Mensual y adjúntelo posteriormente a la solicitud de pago.</t>
  </si>
  <si>
    <t>Proceso: Gestión Financiera</t>
  </si>
  <si>
    <t xml:space="preserve">Formato: Certificación determinación cedular Rentas de Trabajo </t>
  </si>
  <si>
    <t>Etapa: Ejecutar y reconocer los hechos económicos y financieros</t>
  </si>
  <si>
    <t xml:space="preserve">INFORMACIÓN DE LA PERSONA NATURAL </t>
  </si>
  <si>
    <t>DECLARACIÓN BAJO GRAVEDAD DE JURAMENTO</t>
  </si>
  <si>
    <t>NOTA: Favor diligenciar las celdas editables de color azul claro</t>
  </si>
  <si>
    <t>Nombre del Contratista</t>
  </si>
  <si>
    <t>NO</t>
  </si>
  <si>
    <t>2. RELACIÓN DE CONTRATOS QUE ORIGINAN PAGOS (a)</t>
  </si>
  <si>
    <t>NOMBRE O RAZÓN SOCIAL DEL CONTRATANTE</t>
  </si>
  <si>
    <t>EMPRESA EN QUIPU</t>
  </si>
  <si>
    <t>TIPO ORDEN
CONTRACTUAL</t>
  </si>
  <si>
    <t xml:space="preserve">NÚMERO ORDEN CONTRACTUAL </t>
  </si>
  <si>
    <t>VALOR TOTAL DEL CONTRATO ANTES DE IVA</t>
  </si>
  <si>
    <t>FECHA DE INICIO (DD/MM/AAAA)</t>
  </si>
  <si>
    <t>FECHA DE TERMINACION 
(DD/MM/AAAA)</t>
  </si>
  <si>
    <t>CLASE DE RIESGOS LABORALES (b)</t>
  </si>
  <si>
    <t>Riesgo 1</t>
  </si>
  <si>
    <t>TOTAL</t>
  </si>
  <si>
    <r>
      <rPr>
        <b/>
        <sz val="11"/>
        <color theme="1"/>
        <rFont val="Ancizar Sans"/>
      </rPr>
      <t>(a)</t>
    </r>
    <r>
      <rPr>
        <sz val="11"/>
        <color theme="1"/>
        <rFont val="Ancizar Sans"/>
      </rPr>
      <t xml:space="preserve">  Si tiene varias Ordenes Contractuales de Prestación de Servicios suscritas con la Universidad Nacional de Colombia y que se encuentren en ejecución dentro del periodo de solicitud de pago, debe relacionarlas una a una.</t>
    </r>
  </si>
  <si>
    <r>
      <rPr>
        <b/>
        <sz val="11"/>
        <color theme="1"/>
        <rFont val="Ancizar Sans"/>
      </rPr>
      <t>(b)</t>
    </r>
    <r>
      <rPr>
        <sz val="11"/>
        <color theme="1"/>
        <rFont val="Ancizar Sans"/>
      </rPr>
      <t xml:space="preserve">  Seleccione el tipo de riesgos laborales de acuerdo al certificado de afiliación (Recuerde que cuando las ordenes establezcan diferentes tipos de riesgo, el aporte pago debe realizarse por el porcentaje mas alto).</t>
    </r>
  </si>
  <si>
    <t>Aporte obligatorio a salud (12,5%)</t>
  </si>
  <si>
    <t>Aporte obligatorio a pensión (16%)</t>
  </si>
  <si>
    <t>Fondo de solidaridad pensional</t>
  </si>
  <si>
    <t>Aportes voluntarios a pensión</t>
  </si>
  <si>
    <t>Aportes a Riesgos laborales (ARL)</t>
  </si>
  <si>
    <t>Total Aportes Obligatorios</t>
  </si>
  <si>
    <t>DECLARACIÓN FORMAL PARA DISMINUCIÓN DE BASE DE RETENCIÓN</t>
  </si>
  <si>
    <t>Declaro bajo la gravedad de juramento, para efectos de verificación, control, trámite de pago y disminución de base de retención, y en cumplimiento de lo dispuesto en el parágrafo 1 del artículo 4 del Decreto 2271 de 2009, Artículo 126-1 del Estatuto Tributario y las demás normas que regulan el Sistema de Seguridad Social Integral, que los documentos que adjunto a la presente declaración corresponden al pago efectivo, oportuno y completo de los aportes obligatorios al Sistema de Seguridad Social Integral, por los conceptos de salud y pensión, asociados a la(s) orden(es) contractual(es) correspondiente(s) y al mismo período que origina el pago objeto de verificación.
Así mismo, manifiesto expresamente que los ingresos correspondientes al período de cotización declarado se encuentran determinados conforme a lo previsto en el artículo 3 del Decreto 510 de 2003 y las normas concordantes, esto es, sobre el ingreso realmente percibido, dentro de los topes legales aplicables.</t>
  </si>
  <si>
    <t xml:space="preserve">  SI  </t>
  </si>
  <si>
    <t>Nombre:</t>
  </si>
  <si>
    <t>Número de documento de identificación</t>
  </si>
  <si>
    <t>VALOR MENSUALIZADO</t>
  </si>
  <si>
    <t>NÚMERO DE MESES</t>
  </si>
  <si>
    <t xml:space="preserve">INGRESO BASE DE COTIZACIÓN POR CONTRATO IBC (40%). VR MENSUALIZADO </t>
  </si>
  <si>
    <t>APORTE OBLIGATORIO A SALUD (12,5)</t>
  </si>
  <si>
    <t>APORTE OBLIGATORIO A PENSIÓN (16%)</t>
  </si>
  <si>
    <t>FONDO DE SOLIDARIDAD PENSIONAL  Y SUBSISTENCIA</t>
  </si>
  <si>
    <t>BASE DE RETENCIÓN MENSUAL</t>
  </si>
  <si>
    <t>La Universidad Nacional de Colombia, como responsable del Tratamiento de Datos Personales, informa que los datos de carácter personal recolectados mediante este formato, se encuentran bajo medidas que garantizan la seguridad, confidencialidad e integridad y su tratamiento se realiza de acuerdo al cumplimiento normativo de la Ley 1581 de 2012 y de la Política de Tratamiento de Datos de la Universidad Nacional de Colombia. Puede ejercer sus derechos como titular a conocer, actualizar, rectificar y revocar las autorizaciones dadas a las finalidades aplicables a través de los canales dispuestos y disponibles en www.unal.edu.co o e-mail: protecdatos_na@unal.edu.co.</t>
  </si>
  <si>
    <t>Código: U.FT.12.010.069</t>
  </si>
  <si>
    <t>Versión: 6.0</t>
  </si>
  <si>
    <t>Página: 1 de 1</t>
  </si>
  <si>
    <t>Tarifas ARL</t>
  </si>
  <si>
    <t>Tarifas Fondo de Solidaridad Pensional y Subsistencia</t>
  </si>
  <si>
    <t>Lista Condicional</t>
  </si>
  <si>
    <t>Vigencia</t>
  </si>
  <si>
    <t>Clase Riesgo</t>
  </si>
  <si>
    <t>Tarifa</t>
  </si>
  <si>
    <t>Rango inferior</t>
  </si>
  <si>
    <t>Rango Superior</t>
  </si>
  <si>
    <t>Salario Minimo</t>
  </si>
  <si>
    <t xml:space="preserve">  NO  </t>
  </si>
  <si>
    <t xml:space="preserve">UVT </t>
  </si>
  <si>
    <t>Riesgo 2</t>
  </si>
  <si>
    <t>Porcentaje IBC</t>
  </si>
  <si>
    <t>Riesgo 3</t>
  </si>
  <si>
    <t>Salud</t>
  </si>
  <si>
    <t>Riesgo 4</t>
  </si>
  <si>
    <t>Pension</t>
  </si>
  <si>
    <t>Riesgo 5</t>
  </si>
  <si>
    <t>#</t>
  </si>
  <si>
    <t>Orden</t>
  </si>
  <si>
    <t>Valor Mensualizado</t>
  </si>
  <si>
    <t>IBC</t>
  </si>
  <si>
    <t>Salarios minimos</t>
  </si>
  <si>
    <t>Aportes Salud</t>
  </si>
  <si>
    <t>Aportes Pensión -</t>
  </si>
  <si>
    <t>Fondo de Solidaridad Pensional  y subsistencia</t>
  </si>
  <si>
    <t>Clase ARL</t>
  </si>
  <si>
    <t>ARL</t>
  </si>
  <si>
    <t>Ingreso mensualizado</t>
  </si>
  <si>
    <r>
      <rPr>
        <b/>
        <sz val="10"/>
        <color theme="0"/>
        <rFont val="Arial"/>
        <family val="2"/>
      </rPr>
      <t>Valor ingreso en</t>
    </r>
    <r>
      <rPr>
        <b/>
        <sz val="10"/>
        <color rgb="FFFF0000"/>
        <rFont val="Arial"/>
        <family val="2"/>
      </rPr>
      <t xml:space="preserve"> UVT</t>
    </r>
  </si>
  <si>
    <r>
      <rPr>
        <sz val="10"/>
        <color rgb="FF000000"/>
        <rFont val="Arial"/>
        <family val="2"/>
      </rPr>
      <t xml:space="preserve"> identificado como aparece al pie de mi firma, declaro bajo gravedad de juramento, que pertenezco a la cédula de </t>
    </r>
    <r>
      <rPr>
        <b/>
        <sz val="10"/>
        <color rgb="FF000000"/>
        <rFont val="Arial"/>
        <family val="2"/>
      </rPr>
      <t>Rentas de Trabajo</t>
    </r>
    <r>
      <rPr>
        <sz val="10"/>
        <color rgb="FF000000"/>
        <rFont val="Arial"/>
        <family val="2"/>
      </rPr>
      <t xml:space="preserve">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</si>
</sst>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quot;\ * #,##0_);_(&quot;$&quot;\ * \(#,##0\);_(&quot;$&quot;\ * &quot;-&quot;??_);_(@_)"/>
    <numFmt numFmtId="165" formatCode="dd/mm/yyyy"/>
    <numFmt numFmtId="166" formatCode="#,##0.000"/>
    <numFmt numFmtId="167" formatCode="[$$-240A]\ #,##0.00"/>
    <numFmt numFmtId="168" formatCode="mmmm/yyyy"/>
    <numFmt numFmtId="169" formatCode="&quot; &quot;General"/>
    <numFmt numFmtId="170" formatCode="_-&quot;$&quot;* #,##0_-;\-&quot;$&quot;* #,##0_-;_-&quot;$&quot;* &quot;-&quot;_-;_-@"/>
    <numFmt numFmtId="171" formatCode="_-&quot;$&quot;\ * #,##0_-;\-&quot;$&quot;\ * #,##0_-;_-&quot;$&quot;\ * &quot;-&quot;??_-;_-@"/>
    <numFmt numFmtId="172" formatCode="_-* #,##0.00_-;\-* #,##0.00_-;_-* &quot;-&quot;??_-;_-@"/>
    <numFmt numFmtId="173" formatCode="_-&quot;$&quot;\ * #,##0.00_-;\-&quot;$&quot;\ * #,##0.00_-;_-&quot;$&quot;\ * &quot;-&quot;??_-;_-@"/>
  </numFmts>
  <fonts count="42">
    <font>
      <sz val="10"/>
      <color rgb="FF000000"/>
      <name val="Arial"/>
      <scheme val="minor"/>
    </font>
    <font>
      <sz val="10"/>
      <color rgb="FF000000"/>
      <name val="Arial"/>
      <family val="2"/>
    </font>
    <font>
      <b/>
      <sz val="12"/>
      <color rgb="FFFFFFFF"/>
      <name val="Ancizar Sans"/>
    </font>
    <font>
      <sz val="10"/>
      <name val="Arial"/>
      <family val="2"/>
    </font>
    <font>
      <sz val="11"/>
      <color rgb="FF000000"/>
      <name val="Arial"/>
      <family val="2"/>
    </font>
    <font>
      <b/>
      <sz val="10"/>
      <color theme="1"/>
      <name val="Ancizar Sans"/>
    </font>
    <font>
      <b/>
      <sz val="11"/>
      <color theme="0"/>
      <name val="Ancizar Sans"/>
    </font>
    <font>
      <sz val="10"/>
      <color theme="1"/>
      <name val="Ancizar Sans"/>
    </font>
    <font>
      <b/>
      <sz val="12"/>
      <color theme="1"/>
      <name val="Ancizar Sans"/>
    </font>
    <font>
      <b/>
      <sz val="12"/>
      <color theme="0"/>
      <name val="Ancizar Sans"/>
    </font>
    <font>
      <b/>
      <sz val="11"/>
      <color theme="1"/>
      <name val="Ancizar Sans"/>
    </font>
    <font>
      <sz val="11"/>
      <color theme="1"/>
      <name val="Arial"/>
      <family val="2"/>
    </font>
    <font>
      <b/>
      <sz val="10"/>
      <color rgb="FF000000"/>
      <name val="Arial"/>
      <family val="2"/>
    </font>
    <font>
      <b/>
      <sz val="11"/>
      <color rgb="FFFF0000"/>
      <name val="Arial"/>
      <family val="2"/>
    </font>
    <font>
      <sz val="12"/>
      <color theme="1"/>
      <name val="Ancizar Sans"/>
    </font>
    <font>
      <b/>
      <i/>
      <sz val="16"/>
      <color theme="1"/>
      <name val="Ancizar Sans"/>
    </font>
    <font>
      <i/>
      <sz val="10"/>
      <color rgb="FF000000"/>
      <name val="Ancizar Sans"/>
    </font>
    <font>
      <b/>
      <sz val="18"/>
      <color theme="1"/>
      <name val="Ancizar Sans"/>
    </font>
    <font>
      <b/>
      <sz val="16"/>
      <color rgb="FF1F497D"/>
      <name val="Ancizar Sans"/>
    </font>
    <font>
      <sz val="16"/>
      <color theme="1"/>
      <name val="Ancizar Sans"/>
    </font>
    <font>
      <sz val="16"/>
      <color rgb="FF000000"/>
      <name val="Ancizar Sans"/>
    </font>
    <font>
      <b/>
      <sz val="16"/>
      <color theme="0"/>
      <name val="Ancizar Sans"/>
    </font>
    <font>
      <b/>
      <sz val="14"/>
      <color theme="1"/>
      <name val="Ancizar Sans"/>
    </font>
    <font>
      <sz val="14"/>
      <color theme="1"/>
      <name val="Ancizar Sans"/>
    </font>
    <font>
      <b/>
      <sz val="12"/>
      <color rgb="FFC00000"/>
      <name val="Ancizar Sans"/>
    </font>
    <font>
      <b/>
      <i/>
      <sz val="16"/>
      <color rgb="FFC00000"/>
      <name val="Ancizar Sans"/>
    </font>
    <font>
      <sz val="10"/>
      <color rgb="FF000000"/>
      <name val="Ancizar Sans"/>
    </font>
    <font>
      <b/>
      <sz val="12"/>
      <color rgb="FFFF0000"/>
      <name val="Ancizar Sans"/>
    </font>
    <font>
      <sz val="11"/>
      <color theme="1"/>
      <name val="Ancizar Sans"/>
    </font>
    <font>
      <b/>
      <sz val="13"/>
      <color rgb="FFFF0000"/>
      <name val="Ancizar Sans"/>
    </font>
    <font>
      <b/>
      <sz val="10"/>
      <color rgb="FF000000"/>
      <name val="Ancizar Sans"/>
    </font>
    <font>
      <b/>
      <sz val="12"/>
      <color rgb="FF000000"/>
      <name val="Ancizar Sans"/>
    </font>
    <font>
      <b/>
      <sz val="12"/>
      <color rgb="FF000000"/>
      <name val="Arial"/>
      <family val="2"/>
    </font>
    <font>
      <sz val="13"/>
      <color theme="1"/>
      <name val="Ancizar Sans"/>
    </font>
    <font>
      <b/>
      <i/>
      <sz val="15"/>
      <color theme="1"/>
      <name val="Ancizar Sans"/>
    </font>
    <font>
      <b/>
      <sz val="10"/>
      <color theme="0"/>
      <name val="Arial"/>
      <family val="2"/>
    </font>
    <font>
      <sz val="10"/>
      <color theme="1"/>
      <name val="Arial"/>
      <family val="2"/>
    </font>
    <font>
      <b/>
      <sz val="10"/>
      <color theme="0"/>
      <name val="Ancizar Sans"/>
    </font>
    <font>
      <sz val="8"/>
      <color rgb="FF006699"/>
      <name val="Arial"/>
      <family val="2"/>
    </font>
    <font>
      <b/>
      <sz val="10"/>
      <color rgb="FFFF0000"/>
      <name val="Arial"/>
      <family val="2"/>
    </font>
    <font>
      <u/>
      <sz val="10"/>
      <color theme="10"/>
      <name val="Arial"/>
      <family val="2"/>
      <scheme val="minor"/>
    </font>
    <font>
      <sz val="10"/>
      <color rgb="FF000000"/>
      <name val="Arial"/>
      <family val="2"/>
      <scheme val="minor"/>
    </font>
  </fonts>
  <fills count="7">
    <fill>
      <patternFill patternType="none"/>
    </fill>
    <fill>
      <patternFill patternType="gray125"/>
    </fill>
    <fill>
      <patternFill patternType="solid">
        <fgColor rgb="FF002060"/>
        <bgColor rgb="FF002060"/>
      </patternFill>
    </fill>
    <fill>
      <patternFill patternType="solid">
        <fgColor theme="0"/>
        <bgColor theme="0"/>
      </patternFill>
    </fill>
    <fill>
      <patternFill patternType="solid">
        <fgColor rgb="FFFFFFFF"/>
        <bgColor rgb="FFFFFFFF"/>
      </patternFill>
    </fill>
    <fill>
      <patternFill patternType="solid">
        <fgColor rgb="FFDBE5F1"/>
        <bgColor rgb="FFDBE5F1"/>
      </patternFill>
    </fill>
    <fill>
      <patternFill patternType="solid">
        <fgColor rgb="FFDCE6F1"/>
        <bgColor rgb="FFDCE6F1"/>
      </patternFill>
    </fill>
  </fills>
  <borders count="5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top style="thin">
        <color rgb="FF7F7F7F"/>
      </top>
      <bottom/>
      <diagonal/>
    </border>
    <border>
      <left/>
      <right/>
      <top/>
      <bottom style="thin">
        <color rgb="FF7F7F7F"/>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7F7F7F"/>
      </left>
      <right style="thin">
        <color rgb="FF000000"/>
      </right>
      <top style="thin">
        <color rgb="FF7F7F7F"/>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right/>
      <top/>
      <bottom style="double">
        <color rgb="FF000000"/>
      </bottom>
      <diagonal/>
    </border>
    <border>
      <left/>
      <right/>
      <top style="double">
        <color rgb="FF000000"/>
      </top>
      <bottom/>
      <diagonal/>
    </border>
    <border>
      <left/>
      <right/>
      <top style="thin">
        <color rgb="FF7F7F7F"/>
      </top>
      <bottom style="thin">
        <color rgb="FF000000"/>
      </bottom>
      <diagonal/>
    </border>
    <border>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40" fillId="0" borderId="0" applyNumberFormat="0" applyFill="0" applyBorder="0" applyAlignment="0" applyProtection="0"/>
  </cellStyleXfs>
  <cellXfs count="239">
    <xf numFmtId="0" fontId="0" fillId="0" borderId="0" xfId="0"/>
    <xf numFmtId="0" fontId="1" fillId="0" borderId="0" xfId="0" applyFont="1"/>
    <xf numFmtId="0" fontId="4" fillId="0" borderId="3" xfId="0" applyFont="1" applyBorder="1"/>
    <xf numFmtId="0" fontId="2" fillId="0" borderId="4" xfId="0" applyFont="1" applyBorder="1" applyAlignment="1">
      <alignment vertical="center" wrapText="1"/>
    </xf>
    <xf numFmtId="0" fontId="4"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2" borderId="7" xfId="0" applyFont="1" applyFill="1" applyBorder="1" applyAlignment="1">
      <alignment horizontal="center" vertical="center" wrapText="1"/>
    </xf>
    <xf numFmtId="0" fontId="7" fillId="0" borderId="7" xfId="0" applyFont="1" applyBorder="1" applyAlignment="1">
      <alignment horizontal="left" vertical="center" wrapText="1"/>
    </xf>
    <xf numFmtId="0" fontId="8" fillId="0" borderId="4" xfId="0" applyFont="1" applyBorder="1" applyAlignment="1">
      <alignment vertical="center" wrapText="1"/>
    </xf>
    <xf numFmtId="0" fontId="5" fillId="0" borderId="10" xfId="0" applyFont="1" applyBorder="1" applyAlignment="1">
      <alignment vertical="center" wrapText="1"/>
    </xf>
    <xf numFmtId="0" fontId="7" fillId="0" borderId="11" xfId="0" applyFont="1" applyBorder="1" applyAlignment="1">
      <alignment vertical="center" wrapText="1"/>
    </xf>
    <xf numFmtId="0" fontId="4" fillId="0" borderId="0" xfId="0" applyFont="1"/>
    <xf numFmtId="0" fontId="5" fillId="0" borderId="5" xfId="0" applyFont="1" applyBorder="1" applyAlignment="1">
      <alignment vertical="center" wrapText="1"/>
    </xf>
    <xf numFmtId="0" fontId="7" fillId="0" borderId="6" xfId="0" applyFont="1" applyBorder="1" applyAlignment="1">
      <alignment vertical="center" wrapText="1"/>
    </xf>
    <xf numFmtId="0" fontId="10" fillId="3" borderId="12" xfId="0" applyFont="1" applyFill="1" applyBorder="1" applyAlignment="1">
      <alignment vertical="center" wrapText="1"/>
    </xf>
    <xf numFmtId="0" fontId="8" fillId="3" borderId="13" xfId="0" applyFont="1" applyFill="1" applyBorder="1" applyAlignment="1">
      <alignment vertical="center" wrapText="1"/>
    </xf>
    <xf numFmtId="0" fontId="10" fillId="0" borderId="3" xfId="0" applyFont="1" applyBorder="1" applyAlignment="1">
      <alignment vertical="center" wrapText="1"/>
    </xf>
    <xf numFmtId="0" fontId="1" fillId="0" borderId="4" xfId="0" applyFont="1" applyBorder="1" applyAlignment="1">
      <alignment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 fillId="0" borderId="6" xfId="0" applyFont="1" applyBorder="1" applyAlignment="1">
      <alignment vertical="center" wrapText="1"/>
    </xf>
    <xf numFmtId="0" fontId="4" fillId="0" borderId="0" xfId="0" applyFont="1" applyAlignment="1">
      <alignment vertical="center"/>
    </xf>
    <xf numFmtId="0" fontId="1" fillId="0" borderId="0" xfId="0" applyFont="1" applyAlignment="1">
      <alignment vertical="center"/>
    </xf>
    <xf numFmtId="0" fontId="1" fillId="0" borderId="3" xfId="0" applyFont="1" applyBorder="1" applyAlignment="1">
      <alignment horizontal="center"/>
    </xf>
    <xf numFmtId="0" fontId="1" fillId="0" borderId="4" xfId="0" applyFont="1" applyBorder="1" applyAlignment="1">
      <alignment horizontal="center"/>
    </xf>
    <xf numFmtId="0" fontId="1" fillId="4" borderId="13" xfId="0" applyFont="1" applyFill="1" applyBorder="1" applyAlignment="1">
      <alignment vertical="center"/>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1" fillId="0" borderId="3" xfId="0" applyFont="1" applyBorder="1" applyAlignment="1">
      <alignment horizontal="center" wrapText="1"/>
    </xf>
    <xf numFmtId="0" fontId="14" fillId="4" borderId="16" xfId="0" applyFont="1" applyFill="1" applyBorder="1"/>
    <xf numFmtId="0" fontId="14" fillId="4" borderId="17" xfId="0" applyFont="1" applyFill="1" applyBorder="1"/>
    <xf numFmtId="0" fontId="14" fillId="4" borderId="18" xfId="0" applyFont="1" applyFill="1" applyBorder="1"/>
    <xf numFmtId="0" fontId="14" fillId="4" borderId="12" xfId="0" applyFont="1" applyFill="1" applyBorder="1"/>
    <xf numFmtId="0" fontId="15" fillId="0" borderId="0" xfId="0" applyFont="1"/>
    <xf numFmtId="0" fontId="16" fillId="0" borderId="0" xfId="0" applyFont="1"/>
    <xf numFmtId="0" fontId="15" fillId="0" borderId="4" xfId="0" applyFont="1" applyBorder="1"/>
    <xf numFmtId="0" fontId="14" fillId="4" borderId="19" xfId="0" applyFont="1" applyFill="1" applyBorder="1"/>
    <xf numFmtId="0" fontId="17" fillId="4" borderId="19" xfId="0" applyFont="1" applyFill="1" applyBorder="1" applyAlignment="1">
      <alignment vertical="center" wrapText="1"/>
    </xf>
    <xf numFmtId="0" fontId="14" fillId="4" borderId="13" xfId="0" applyFont="1" applyFill="1" applyBorder="1"/>
    <xf numFmtId="0" fontId="14" fillId="4" borderId="12" xfId="0" applyFont="1" applyFill="1" applyBorder="1" applyAlignment="1">
      <alignment horizontal="center"/>
    </xf>
    <xf numFmtId="0" fontId="19" fillId="0" borderId="0" xfId="0" applyFont="1"/>
    <xf numFmtId="0" fontId="20" fillId="0" borderId="0" xfId="0" applyFont="1"/>
    <xf numFmtId="0" fontId="8" fillId="4" borderId="13" xfId="0" applyFont="1" applyFill="1" applyBorder="1" applyAlignment="1">
      <alignment horizontal="center" vertical="center" wrapText="1"/>
    </xf>
    <xf numFmtId="0" fontId="17" fillId="0" borderId="4" xfId="0" applyFont="1" applyBorder="1" applyAlignment="1">
      <alignment vertical="center"/>
    </xf>
    <xf numFmtId="0" fontId="14" fillId="3" borderId="12" xfId="0" applyFont="1" applyFill="1" applyBorder="1" applyAlignment="1">
      <alignment horizontal="left"/>
    </xf>
    <xf numFmtId="0" fontId="22" fillId="3" borderId="13" xfId="0" applyFont="1" applyFill="1" applyBorder="1" applyAlignment="1">
      <alignment vertical="center"/>
    </xf>
    <xf numFmtId="0" fontId="14" fillId="3" borderId="12" xfId="0" applyFont="1" applyFill="1" applyBorder="1"/>
    <xf numFmtId="0" fontId="23" fillId="3" borderId="13" xfId="0" applyFont="1" applyFill="1" applyBorder="1" applyAlignment="1">
      <alignment vertical="center" wrapText="1"/>
    </xf>
    <xf numFmtId="0" fontId="22" fillId="0" borderId="0" xfId="0" applyFont="1" applyAlignment="1">
      <alignment horizontal="center" vertical="center" wrapText="1"/>
    </xf>
    <xf numFmtId="0" fontId="24" fillId="0" borderId="4" xfId="0" applyFont="1" applyBorder="1" applyAlignment="1">
      <alignment vertical="center"/>
    </xf>
    <xf numFmtId="0" fontId="8" fillId="4" borderId="12" xfId="0" applyFont="1" applyFill="1" applyBorder="1" applyAlignment="1">
      <alignment horizontal="center"/>
    </xf>
    <xf numFmtId="0" fontId="25" fillId="0" borderId="0" xfId="0" applyFont="1" applyAlignment="1">
      <alignment vertical="center"/>
    </xf>
    <xf numFmtId="0" fontId="8" fillId="0" borderId="4" xfId="0" applyFont="1" applyBorder="1" applyAlignment="1">
      <alignment horizontal="center"/>
    </xf>
    <xf numFmtId="0" fontId="8" fillId="4" borderId="13" xfId="0" applyFont="1" applyFill="1" applyBorder="1" applyAlignment="1">
      <alignment horizontal="center"/>
    </xf>
    <xf numFmtId="0" fontId="8" fillId="0" borderId="0" xfId="0" applyFont="1" applyAlignment="1">
      <alignment horizontal="center"/>
    </xf>
    <xf numFmtId="0" fontId="9" fillId="0" borderId="0" xfId="0" applyFont="1" applyAlignment="1">
      <alignment horizontal="center" vertical="center"/>
    </xf>
    <xf numFmtId="14" fontId="8" fillId="5" borderId="7" xfId="0" applyNumberFormat="1" applyFont="1" applyFill="1" applyBorder="1" applyAlignment="1">
      <alignment horizontal="center" vertical="center" wrapText="1"/>
    </xf>
    <xf numFmtId="3" fontId="14" fillId="3" borderId="13" xfId="0" applyNumberFormat="1" applyFont="1" applyFill="1" applyBorder="1" applyAlignment="1">
      <alignment horizontal="center" vertical="center"/>
    </xf>
    <xf numFmtId="0" fontId="8" fillId="4" borderId="12" xfId="0" applyFont="1" applyFill="1" applyBorder="1"/>
    <xf numFmtId="0" fontId="26" fillId="0" borderId="0" xfId="0" applyFont="1"/>
    <xf numFmtId="0" fontId="8" fillId="4" borderId="12" xfId="0" applyFont="1" applyFill="1" applyBorder="1" applyAlignment="1">
      <alignment horizontal="left"/>
    </xf>
    <xf numFmtId="0" fontId="14" fillId="3" borderId="19" xfId="0" applyFont="1" applyFill="1" applyBorder="1" applyAlignment="1">
      <alignment vertical="center"/>
    </xf>
    <xf numFmtId="0" fontId="14" fillId="4" borderId="13" xfId="0" applyFont="1" applyFill="1" applyBorder="1" applyAlignment="1">
      <alignment vertical="top"/>
    </xf>
    <xf numFmtId="0" fontId="8" fillId="3" borderId="13" xfId="0" applyFont="1" applyFill="1" applyBorder="1" applyAlignment="1">
      <alignment vertical="center"/>
    </xf>
    <xf numFmtId="0" fontId="14" fillId="0" borderId="4" xfId="0" applyFont="1" applyBorder="1"/>
    <xf numFmtId="0" fontId="8" fillId="4" borderId="12" xfId="0" applyFont="1" applyFill="1" applyBorder="1" applyAlignment="1">
      <alignment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164" fontId="8" fillId="0" borderId="30" xfId="0" applyNumberFormat="1" applyFont="1" applyBorder="1" applyAlignment="1">
      <alignment horizontal="center" vertical="center" wrapText="1"/>
    </xf>
    <xf numFmtId="0" fontId="14" fillId="4" borderId="12" xfId="0" applyFont="1" applyFill="1" applyBorder="1" applyAlignment="1">
      <alignment vertical="center" wrapText="1"/>
    </xf>
    <xf numFmtId="0" fontId="14" fillId="6" borderId="7" xfId="0" applyFont="1" applyFill="1" applyBorder="1" applyAlignment="1">
      <alignment horizontal="center" vertical="center" wrapText="1"/>
    </xf>
    <xf numFmtId="0" fontId="14" fillId="5" borderId="7" xfId="0" applyFont="1" applyFill="1" applyBorder="1" applyAlignment="1">
      <alignment horizontal="center" vertical="center" wrapText="1"/>
    </xf>
    <xf numFmtId="164" fontId="14" fillId="5" borderId="7" xfId="0" applyNumberFormat="1" applyFont="1" applyFill="1" applyBorder="1" applyAlignment="1">
      <alignment horizontal="center" vertical="center" wrapText="1"/>
    </xf>
    <xf numFmtId="165" fontId="14" fillId="5" borderId="7" xfId="0" applyNumberFormat="1" applyFont="1" applyFill="1" applyBorder="1" applyAlignment="1">
      <alignment horizontal="center" vertical="center" wrapText="1"/>
    </xf>
    <xf numFmtId="166" fontId="14" fillId="5" borderId="7" xfId="0" applyNumberFormat="1" applyFont="1" applyFill="1" applyBorder="1" applyAlignment="1">
      <alignment horizontal="center" vertical="center"/>
    </xf>
    <xf numFmtId="166" fontId="27" fillId="0" borderId="4" xfId="0" applyNumberFormat="1" applyFont="1" applyBorder="1" applyAlignment="1">
      <alignment vertical="center"/>
    </xf>
    <xf numFmtId="166" fontId="14" fillId="0" borderId="4" xfId="0" applyNumberFormat="1" applyFont="1" applyBorder="1" applyAlignment="1">
      <alignment vertical="center"/>
    </xf>
    <xf numFmtId="0" fontId="8" fillId="0" borderId="32" xfId="0" applyFont="1" applyBorder="1" applyAlignment="1">
      <alignment vertical="center" wrapText="1"/>
    </xf>
    <xf numFmtId="0" fontId="7" fillId="0" borderId="32" xfId="0" applyFont="1" applyBorder="1"/>
    <xf numFmtId="164" fontId="8" fillId="0" borderId="33" xfId="0" applyNumberFormat="1" applyFont="1" applyBorder="1" applyAlignment="1">
      <alignment vertical="center" wrapText="1"/>
    </xf>
    <xf numFmtId="0" fontId="7" fillId="0" borderId="0" xfId="0" applyFont="1" applyAlignment="1">
      <alignment horizontal="center"/>
    </xf>
    <xf numFmtId="0" fontId="7" fillId="0" borderId="4" xfId="0" applyFont="1" applyBorder="1"/>
    <xf numFmtId="0" fontId="8" fillId="0" borderId="0" xfId="0" applyFont="1" applyAlignment="1">
      <alignment vertical="center" wrapText="1"/>
    </xf>
    <xf numFmtId="0" fontId="7" fillId="0" borderId="0" xfId="0" applyFont="1"/>
    <xf numFmtId="164" fontId="8" fillId="0" borderId="0" xfId="0" applyNumberFormat="1" applyFont="1" applyAlignment="1">
      <alignment vertical="center" wrapText="1"/>
    </xf>
    <xf numFmtId="0" fontId="8" fillId="3" borderId="13" xfId="0" applyFont="1" applyFill="1" applyBorder="1" applyAlignment="1">
      <alignment horizontal="center" wrapText="1"/>
    </xf>
    <xf numFmtId="0" fontId="14" fillId="4" borderId="12" xfId="0" applyFont="1" applyFill="1" applyBorder="1" applyAlignment="1">
      <alignment vertical="center"/>
    </xf>
    <xf numFmtId="0" fontId="8" fillId="3" borderId="13" xfId="0" applyFont="1" applyFill="1" applyBorder="1" applyAlignment="1">
      <alignment horizontal="center" vertical="center" wrapText="1"/>
    </xf>
    <xf numFmtId="0" fontId="26" fillId="0" borderId="0" xfId="0" applyFont="1" applyAlignment="1">
      <alignment vertical="center"/>
    </xf>
    <xf numFmtId="0" fontId="14" fillId="3" borderId="13" xfId="0" applyFont="1" applyFill="1" applyBorder="1" applyAlignment="1">
      <alignment vertical="center"/>
    </xf>
    <xf numFmtId="0" fontId="14" fillId="3" borderId="13" xfId="0" applyFont="1" applyFill="1" applyBorder="1"/>
    <xf numFmtId="0" fontId="14" fillId="3" borderId="19" xfId="0" applyFont="1" applyFill="1" applyBorder="1"/>
    <xf numFmtId="164" fontId="14" fillId="0" borderId="6" xfId="0" applyNumberFormat="1" applyFont="1" applyBorder="1" applyAlignment="1">
      <alignment vertical="center"/>
    </xf>
    <xf numFmtId="0" fontId="10" fillId="0" borderId="7" xfId="0" applyFont="1" applyBorder="1" applyAlignment="1">
      <alignment vertical="center" wrapText="1"/>
    </xf>
    <xf numFmtId="167" fontId="7" fillId="5" borderId="7" xfId="0" applyNumberFormat="1" applyFont="1" applyFill="1" applyBorder="1" applyAlignment="1">
      <alignment horizontal="center" vertical="center"/>
    </xf>
    <xf numFmtId="167" fontId="7" fillId="5" borderId="37" xfId="0" applyNumberFormat="1" applyFont="1" applyFill="1" applyBorder="1" applyAlignment="1">
      <alignment horizontal="center" vertical="center"/>
    </xf>
    <xf numFmtId="167" fontId="7" fillId="0" borderId="0" xfId="0" applyNumberFormat="1" applyFont="1" applyAlignment="1">
      <alignment horizontal="center" vertical="center"/>
    </xf>
    <xf numFmtId="164" fontId="9" fillId="2" borderId="18" xfId="0" applyNumberFormat="1" applyFont="1" applyFill="1" applyBorder="1" applyAlignment="1">
      <alignment vertical="center"/>
    </xf>
    <xf numFmtId="168" fontId="28" fillId="6" borderId="7" xfId="0" applyNumberFormat="1" applyFont="1" applyFill="1" applyBorder="1" applyAlignment="1">
      <alignment horizontal="center" vertical="center"/>
    </xf>
    <xf numFmtId="0" fontId="1" fillId="4" borderId="19" xfId="0" applyFont="1" applyFill="1" applyBorder="1"/>
    <xf numFmtId="0" fontId="14" fillId="0" borderId="0" xfId="0" applyFont="1"/>
    <xf numFmtId="0" fontId="10" fillId="0" borderId="38" xfId="0" applyFont="1" applyBorder="1" applyAlignment="1">
      <alignment vertical="center" wrapText="1"/>
    </xf>
    <xf numFmtId="168" fontId="28" fillId="0" borderId="38" xfId="0" applyNumberFormat="1" applyFont="1" applyBorder="1" applyAlignment="1">
      <alignment horizontal="center" vertical="center"/>
    </xf>
    <xf numFmtId="0" fontId="2" fillId="0" borderId="0" xfId="0" applyFont="1" applyAlignment="1">
      <alignment horizontal="center" vertical="center"/>
    </xf>
    <xf numFmtId="167" fontId="14" fillId="0" borderId="0" xfId="0" applyNumberFormat="1" applyFont="1" applyAlignment="1">
      <alignment horizontal="center" vertical="center"/>
    </xf>
    <xf numFmtId="0" fontId="5" fillId="4" borderId="42" xfId="0" applyFont="1" applyFill="1" applyBorder="1" applyAlignment="1">
      <alignment vertical="center"/>
    </xf>
    <xf numFmtId="0" fontId="5" fillId="3" borderId="19" xfId="0" applyFont="1" applyFill="1" applyBorder="1" applyAlignment="1">
      <alignment vertical="center" wrapText="1"/>
    </xf>
    <xf numFmtId="0" fontId="8" fillId="4" borderId="19" xfId="0" applyFont="1" applyFill="1" applyBorder="1"/>
    <xf numFmtId="169" fontId="8" fillId="0" borderId="0" xfId="0" applyNumberFormat="1" applyFont="1" applyAlignment="1">
      <alignment vertical="center" wrapText="1"/>
    </xf>
    <xf numFmtId="0" fontId="8" fillId="0" borderId="7" xfId="0" applyFont="1" applyBorder="1" applyAlignment="1">
      <alignment horizontal="center" vertical="center" wrapText="1"/>
    </xf>
    <xf numFmtId="164" fontId="28" fillId="0" borderId="7" xfId="0" applyNumberFormat="1" applyFont="1" applyBorder="1" applyAlignment="1">
      <alignment horizontal="center" vertical="center"/>
    </xf>
    <xf numFmtId="1" fontId="28" fillId="0" borderId="7" xfId="0" applyNumberFormat="1" applyFont="1" applyBorder="1" applyAlignment="1">
      <alignment horizontal="center" vertical="center"/>
    </xf>
    <xf numFmtId="170" fontId="28" fillId="0" borderId="7" xfId="0" applyNumberFormat="1" applyFont="1" applyBorder="1" applyAlignment="1">
      <alignment vertical="center" wrapText="1"/>
    </xf>
    <xf numFmtId="164" fontId="8" fillId="0" borderId="7" xfId="0" applyNumberFormat="1" applyFont="1" applyBorder="1" applyAlignment="1">
      <alignment vertical="center"/>
    </xf>
    <xf numFmtId="0" fontId="31" fillId="0" borderId="0" xfId="0" applyFont="1"/>
    <xf numFmtId="0" fontId="8" fillId="0" borderId="3" xfId="0" applyFont="1" applyBorder="1"/>
    <xf numFmtId="0" fontId="8" fillId="0" borderId="0" xfId="0" applyFont="1"/>
    <xf numFmtId="164" fontId="8" fillId="0" borderId="33" xfId="0" applyNumberFormat="1" applyFont="1" applyBorder="1" applyAlignment="1">
      <alignment vertical="center"/>
    </xf>
    <xf numFmtId="0" fontId="8" fillId="4" borderId="13" xfId="0" applyFont="1" applyFill="1" applyBorder="1"/>
    <xf numFmtId="0" fontId="32" fillId="0" borderId="0" xfId="0" applyFont="1"/>
    <xf numFmtId="2" fontId="14" fillId="0" borderId="0" xfId="0" applyNumberFormat="1" applyFont="1" applyAlignment="1">
      <alignment horizontal="center" vertical="center"/>
    </xf>
    <xf numFmtId="164" fontId="33" fillId="0" borderId="0" xfId="0" applyNumberFormat="1" applyFont="1" applyAlignment="1">
      <alignment horizontal="center" vertical="center"/>
    </xf>
    <xf numFmtId="0" fontId="14" fillId="4" borderId="46" xfId="0" applyFont="1" applyFill="1" applyBorder="1"/>
    <xf numFmtId="0" fontId="34" fillId="3" borderId="47" xfId="0" applyFont="1" applyFill="1" applyBorder="1" applyAlignment="1">
      <alignment wrapText="1"/>
    </xf>
    <xf numFmtId="0" fontId="26" fillId="0" borderId="38" xfId="0" applyFont="1" applyBorder="1"/>
    <xf numFmtId="0" fontId="1" fillId="0" borderId="27" xfId="0" applyFont="1" applyBorder="1"/>
    <xf numFmtId="0" fontId="34" fillId="3" borderId="48" xfId="0" applyFont="1" applyFill="1" applyBorder="1" applyAlignment="1">
      <alignment wrapText="1"/>
    </xf>
    <xf numFmtId="0" fontId="1" fillId="0" borderId="7" xfId="0" applyFont="1" applyBorder="1"/>
    <xf numFmtId="0" fontId="35" fillId="2" borderId="7" xfId="0" applyFont="1" applyFill="1" applyBorder="1"/>
    <xf numFmtId="0" fontId="1" fillId="2" borderId="48" xfId="0" applyFont="1" applyFill="1" applyBorder="1"/>
    <xf numFmtId="0" fontId="1" fillId="2" borderId="46" xfId="0" applyFont="1" applyFill="1" applyBorder="1"/>
    <xf numFmtId="0" fontId="35" fillId="2" borderId="48" xfId="0" applyFont="1" applyFill="1" applyBorder="1" applyAlignment="1">
      <alignment horizontal="center" vertical="center" wrapText="1"/>
    </xf>
    <xf numFmtId="0" fontId="35" fillId="2" borderId="49" xfId="0" applyFont="1" applyFill="1" applyBorder="1" applyAlignment="1">
      <alignment horizontal="center" vertical="center" wrapText="1"/>
    </xf>
    <xf numFmtId="0" fontId="35" fillId="2" borderId="46" xfId="0" applyFont="1" applyFill="1" applyBorder="1" applyAlignment="1">
      <alignment horizontal="center" vertical="center" wrapText="1"/>
    </xf>
    <xf numFmtId="0" fontId="1" fillId="0" borderId="7" xfId="0" applyFont="1" applyBorder="1" applyAlignment="1">
      <alignment horizontal="center"/>
    </xf>
    <xf numFmtId="171" fontId="1" fillId="0" borderId="7" xfId="0" applyNumberFormat="1" applyFont="1" applyBorder="1"/>
    <xf numFmtId="172" fontId="1" fillId="0" borderId="0" xfId="0" applyNumberFormat="1" applyFont="1"/>
    <xf numFmtId="0" fontId="1" fillId="0" borderId="6" xfId="0" applyFont="1" applyBorder="1"/>
    <xf numFmtId="10" fontId="14" fillId="0" borderId="5" xfId="0" applyNumberFormat="1" applyFont="1" applyBorder="1"/>
    <xf numFmtId="0" fontId="36" fillId="0" borderId="6" xfId="0" applyFont="1" applyBorder="1"/>
    <xf numFmtId="0" fontId="36" fillId="0" borderId="7" xfId="0" applyFont="1" applyBorder="1"/>
    <xf numFmtId="9" fontId="36" fillId="0" borderId="5" xfId="0" applyNumberFormat="1" applyFont="1" applyBorder="1"/>
    <xf numFmtId="10" fontId="36" fillId="0" borderId="5" xfId="0" applyNumberFormat="1" applyFont="1" applyBorder="1"/>
    <xf numFmtId="9" fontId="1" fillId="0" borderId="7" xfId="0" applyNumberFormat="1" applyFont="1" applyBorder="1"/>
    <xf numFmtId="10" fontId="1" fillId="0" borderId="7" xfId="0" applyNumberFormat="1" applyFont="1" applyBorder="1"/>
    <xf numFmtId="0" fontId="1" fillId="0" borderId="11" xfId="0" applyFont="1" applyBorder="1"/>
    <xf numFmtId="10" fontId="14" fillId="0" borderId="10" xfId="0" applyNumberFormat="1" applyFont="1" applyBorder="1"/>
    <xf numFmtId="0" fontId="36" fillId="0" borderId="11" xfId="0" applyFont="1" applyBorder="1"/>
    <xf numFmtId="0" fontId="1" fillId="0" borderId="30" xfId="0" applyFont="1" applyBorder="1"/>
    <xf numFmtId="9" fontId="36" fillId="0" borderId="10" xfId="0" applyNumberFormat="1" applyFont="1" applyBorder="1"/>
    <xf numFmtId="0" fontId="36" fillId="0" borderId="0" xfId="0" applyFont="1"/>
    <xf numFmtId="9" fontId="36" fillId="0" borderId="0" xfId="0" applyNumberFormat="1" applyFont="1"/>
    <xf numFmtId="0" fontId="35" fillId="2" borderId="19" xfId="0" applyFont="1" applyFill="1" applyBorder="1" applyAlignment="1">
      <alignment horizontal="center" vertical="center"/>
    </xf>
    <xf numFmtId="0" fontId="37" fillId="2" borderId="7" xfId="0" applyFont="1" applyFill="1" applyBorder="1" applyAlignment="1">
      <alignment horizontal="left" vertical="center" wrapText="1"/>
    </xf>
    <xf numFmtId="0" fontId="37" fillId="2" borderId="7" xfId="0" applyFont="1" applyFill="1" applyBorder="1" applyAlignment="1">
      <alignment horizontal="left" vertical="center"/>
    </xf>
    <xf numFmtId="0" fontId="4" fillId="0" borderId="7" xfId="0" applyFont="1" applyBorder="1" applyAlignment="1">
      <alignment horizontal="center"/>
    </xf>
    <xf numFmtId="169" fontId="28" fillId="0" borderId="7" xfId="0" applyNumberFormat="1" applyFont="1" applyBorder="1" applyAlignment="1">
      <alignment horizontal="center" vertical="center"/>
    </xf>
    <xf numFmtId="171" fontId="28" fillId="0" borderId="7" xfId="0" applyNumberFormat="1" applyFont="1" applyBorder="1" applyAlignment="1">
      <alignment horizontal="center" vertical="center"/>
    </xf>
    <xf numFmtId="2" fontId="28" fillId="0" borderId="7" xfId="0" applyNumberFormat="1" applyFont="1" applyBorder="1" applyAlignment="1">
      <alignment horizontal="center" vertical="center"/>
    </xf>
    <xf numFmtId="173" fontId="28" fillId="0" borderId="7" xfId="0" applyNumberFormat="1" applyFont="1" applyBorder="1" applyAlignment="1">
      <alignment horizontal="center" vertical="center"/>
    </xf>
    <xf numFmtId="49" fontId="28" fillId="0" borderId="7" xfId="0" applyNumberFormat="1" applyFont="1" applyBorder="1" applyAlignment="1">
      <alignment horizontal="center" vertical="center"/>
    </xf>
    <xf numFmtId="164" fontId="28" fillId="0" borderId="7" xfId="0" applyNumberFormat="1" applyFont="1" applyBorder="1" applyAlignment="1">
      <alignment vertical="center"/>
    </xf>
    <xf numFmtId="171" fontId="1" fillId="0" borderId="7" xfId="0" applyNumberFormat="1" applyFont="1" applyBorder="1" applyAlignment="1">
      <alignment horizontal="center" vertical="center"/>
    </xf>
    <xf numFmtId="2" fontId="14" fillId="0" borderId="7" xfId="0" applyNumberFormat="1" applyFont="1" applyBorder="1" applyAlignment="1">
      <alignment horizontal="center" vertical="center"/>
    </xf>
    <xf numFmtId="164" fontId="14" fillId="0" borderId="7" xfId="0" applyNumberFormat="1" applyFont="1" applyBorder="1" applyAlignment="1">
      <alignment horizontal="center" vertical="center"/>
    </xf>
    <xf numFmtId="164" fontId="8" fillId="0" borderId="7" xfId="0" applyNumberFormat="1" applyFont="1" applyBorder="1" applyAlignment="1">
      <alignment horizontal="center" vertical="center"/>
    </xf>
    <xf numFmtId="173" fontId="1" fillId="0" borderId="0" xfId="0" applyNumberFormat="1" applyFont="1" applyAlignment="1">
      <alignment horizontal="center" vertical="center"/>
    </xf>
    <xf numFmtId="0" fontId="1" fillId="0" borderId="0" xfId="0" applyFont="1" applyAlignment="1">
      <alignment horizontal="center" vertical="center"/>
    </xf>
    <xf numFmtId="169" fontId="14" fillId="0" borderId="0" xfId="0" applyNumberFormat="1" applyFont="1" applyAlignment="1">
      <alignment horizontal="center" vertical="center"/>
    </xf>
    <xf numFmtId="171" fontId="1" fillId="0" borderId="0" xfId="0" applyNumberFormat="1" applyFont="1" applyAlignment="1">
      <alignment horizontal="center" vertical="center"/>
    </xf>
    <xf numFmtId="164" fontId="14" fillId="0" borderId="0" xfId="0" applyNumberFormat="1" applyFont="1" applyAlignment="1">
      <alignment horizontal="center" vertical="center"/>
    </xf>
    <xf numFmtId="164" fontId="8" fillId="0" borderId="0" xfId="0" applyNumberFormat="1" applyFont="1" applyAlignment="1">
      <alignment horizontal="center" vertical="center"/>
    </xf>
    <xf numFmtId="0" fontId="35" fillId="2" borderId="7" xfId="0" applyFont="1" applyFill="1" applyBorder="1" applyAlignment="1">
      <alignment vertical="center" wrapText="1"/>
    </xf>
    <xf numFmtId="2" fontId="36" fillId="0" borderId="7" xfId="0" applyNumberFormat="1" applyFont="1" applyBorder="1" applyAlignment="1">
      <alignment vertical="center"/>
    </xf>
    <xf numFmtId="0" fontId="36" fillId="0" borderId="0" xfId="0" applyFont="1" applyAlignment="1">
      <alignment vertical="top"/>
    </xf>
    <xf numFmtId="2" fontId="36" fillId="0" borderId="0" xfId="0" applyNumberFormat="1" applyFont="1"/>
    <xf numFmtId="172" fontId="38" fillId="0" borderId="0" xfId="0" applyNumberFormat="1" applyFont="1"/>
    <xf numFmtId="0" fontId="28" fillId="0" borderId="5" xfId="0" applyFont="1" applyBorder="1" applyAlignment="1">
      <alignment horizontal="center" vertical="center" wrapText="1"/>
    </xf>
    <xf numFmtId="0" fontId="3" fillId="0" borderId="27" xfId="0" applyFont="1" applyBorder="1"/>
    <xf numFmtId="0" fontId="3" fillId="0" borderId="6" xfId="0" applyFont="1" applyBorder="1"/>
    <xf numFmtId="3" fontId="14" fillId="5" borderId="5" xfId="0" applyNumberFormat="1" applyFont="1" applyFill="1" applyBorder="1" applyAlignment="1">
      <alignment horizontal="center" vertical="center" wrapText="1"/>
    </xf>
    <xf numFmtId="0" fontId="10" fillId="0" borderId="5" xfId="0" applyFont="1" applyBorder="1" applyAlignment="1">
      <alignment horizontal="left" vertical="center" wrapText="1"/>
    </xf>
    <xf numFmtId="0" fontId="9" fillId="2" borderId="5" xfId="0" applyFont="1" applyFill="1" applyBorder="1" applyAlignment="1">
      <alignment horizontal="left" vertical="center"/>
    </xf>
    <xf numFmtId="0" fontId="9" fillId="2" borderId="20" xfId="0" applyFont="1" applyFill="1" applyBorder="1" applyAlignment="1">
      <alignment horizontal="center" vertical="center" wrapText="1"/>
    </xf>
    <xf numFmtId="0" fontId="3" fillId="0" borderId="21" xfId="0" applyFont="1" applyBorder="1"/>
    <xf numFmtId="0" fontId="3" fillId="0" borderId="22" xfId="0" applyFont="1" applyBorder="1"/>
    <xf numFmtId="0" fontId="7" fillId="0" borderId="10" xfId="0" applyFont="1" applyBorder="1" applyAlignment="1">
      <alignment horizontal="center" vertical="center" wrapText="1"/>
    </xf>
    <xf numFmtId="0" fontId="3" fillId="0" borderId="39" xfId="0" applyFont="1" applyBorder="1"/>
    <xf numFmtId="0" fontId="3" fillId="0" borderId="11" xfId="0" applyFont="1" applyBorder="1"/>
    <xf numFmtId="0" fontId="3" fillId="0" borderId="3" xfId="0" applyFont="1" applyBorder="1"/>
    <xf numFmtId="0" fontId="0" fillId="0" borderId="0" xfId="0"/>
    <xf numFmtId="0" fontId="3" fillId="0" borderId="4" xfId="0" applyFont="1" applyBorder="1"/>
    <xf numFmtId="0" fontId="3" fillId="0" borderId="14" xfId="0" applyFont="1" applyBorder="1"/>
    <xf numFmtId="0" fontId="3" fillId="0" borderId="38" xfId="0" applyFont="1" applyBorder="1"/>
    <xf numFmtId="0" fontId="3" fillId="0" borderId="15" xfId="0" applyFont="1" applyBorder="1"/>
    <xf numFmtId="167" fontId="14" fillId="5" borderId="30" xfId="0" applyNumberFormat="1" applyFont="1" applyFill="1" applyBorder="1" applyAlignment="1">
      <alignment horizontal="center" vertical="center"/>
    </xf>
    <xf numFmtId="0" fontId="3" fillId="0" borderId="40" xfId="0" applyFont="1" applyBorder="1"/>
    <xf numFmtId="0" fontId="3" fillId="0" borderId="33" xfId="0" applyFont="1" applyBorder="1"/>
    <xf numFmtId="0" fontId="9" fillId="2" borderId="43" xfId="0" applyFont="1" applyFill="1" applyBorder="1" applyAlignment="1">
      <alignment horizontal="center" vertical="center" wrapText="1"/>
    </xf>
    <xf numFmtId="0" fontId="3" fillId="0" borderId="44" xfId="0" applyFont="1" applyBorder="1"/>
    <xf numFmtId="0" fontId="3" fillId="0" borderId="45" xfId="0" applyFont="1" applyBorder="1"/>
    <xf numFmtId="0" fontId="1" fillId="0" borderId="0" xfId="0" applyFont="1" applyAlignment="1">
      <alignment horizontal="center"/>
    </xf>
    <xf numFmtId="0" fontId="3" fillId="0" borderId="41" xfId="0" applyFont="1" applyBorder="1"/>
    <xf numFmtId="0" fontId="30" fillId="4" borderId="20" xfId="0" applyFont="1" applyFill="1" applyBorder="1" applyAlignment="1">
      <alignment horizontal="left" vertical="center" wrapText="1"/>
    </xf>
    <xf numFmtId="0" fontId="9" fillId="2" borderId="5" xfId="0" applyFont="1" applyFill="1" applyBorder="1" applyAlignment="1">
      <alignment horizontal="center" vertical="center" wrapText="1"/>
    </xf>
    <xf numFmtId="0" fontId="29" fillId="3" borderId="5" xfId="0" applyFont="1" applyFill="1" applyBorder="1" applyAlignment="1">
      <alignment horizontal="center" vertical="center" wrapText="1"/>
    </xf>
    <xf numFmtId="0" fontId="9" fillId="2" borderId="1" xfId="0" applyFont="1" applyFill="1" applyBorder="1" applyAlignment="1">
      <alignment horizontal="center" vertical="center"/>
    </xf>
    <xf numFmtId="0" fontId="3" fillId="0" borderId="28" xfId="0" applyFont="1" applyBorder="1"/>
    <xf numFmtId="0" fontId="3" fillId="0" borderId="2" xfId="0" applyFont="1" applyBorder="1"/>
    <xf numFmtId="0" fontId="9" fillId="2" borderId="34" xfId="0" applyFont="1" applyFill="1" applyBorder="1" applyAlignment="1">
      <alignment horizontal="center" vertical="center" wrapText="1"/>
    </xf>
    <xf numFmtId="0" fontId="3" fillId="0" borderId="35" xfId="0" applyFont="1" applyBorder="1"/>
    <xf numFmtId="0" fontId="3" fillId="0" borderId="36" xfId="0" applyFont="1" applyBorder="1"/>
    <xf numFmtId="0" fontId="10" fillId="3" borderId="5" xfId="0" applyFont="1" applyFill="1" applyBorder="1" applyAlignment="1">
      <alignment horizontal="left" vertical="center" wrapText="1"/>
    </xf>
    <xf numFmtId="0" fontId="2" fillId="2" borderId="34" xfId="0" applyFont="1" applyFill="1" applyBorder="1" applyAlignment="1">
      <alignment horizontal="center" vertical="center"/>
    </xf>
    <xf numFmtId="0" fontId="8" fillId="0" borderId="31" xfId="0" applyFont="1" applyBorder="1" applyAlignment="1">
      <alignment horizontal="center" vertical="center" wrapText="1"/>
    </xf>
    <xf numFmtId="0" fontId="7" fillId="0" borderId="0" xfId="0" applyFont="1" applyAlignment="1">
      <alignment horizontal="center"/>
    </xf>
    <xf numFmtId="0" fontId="28" fillId="0" borderId="0" xfId="0" applyFont="1" applyAlignment="1">
      <alignment horizontal="left" vertical="center" wrapText="1"/>
    </xf>
    <xf numFmtId="0" fontId="8" fillId="0" borderId="5" xfId="0" applyFont="1" applyBorder="1" applyAlignment="1">
      <alignment horizontal="left" vertical="center" wrapText="1"/>
    </xf>
    <xf numFmtId="0" fontId="14" fillId="5" borderId="5" xfId="0" applyFont="1" applyFill="1" applyBorder="1" applyAlignment="1">
      <alignment horizontal="center" vertical="center"/>
    </xf>
    <xf numFmtId="0" fontId="8" fillId="3" borderId="5" xfId="0" applyFont="1" applyFill="1" applyBorder="1" applyAlignment="1">
      <alignment horizontal="left" vertical="center" wrapText="1"/>
    </xf>
    <xf numFmtId="0" fontId="40" fillId="5" borderId="5" xfId="1" applyFill="1" applyBorder="1" applyAlignment="1">
      <alignment horizontal="center" vertical="center"/>
    </xf>
    <xf numFmtId="0" fontId="18" fillId="4" borderId="20" xfId="0" applyFont="1" applyFill="1" applyBorder="1" applyAlignment="1">
      <alignment horizontal="center" vertical="center" wrapText="1"/>
    </xf>
    <xf numFmtId="0" fontId="21" fillId="2" borderId="23" xfId="0" applyFont="1" applyFill="1" applyBorder="1" applyAlignment="1">
      <alignment horizontal="center" vertical="center"/>
    </xf>
    <xf numFmtId="0" fontId="3" fillId="0" borderId="24" xfId="0" applyFont="1" applyBorder="1"/>
    <xf numFmtId="0" fontId="3" fillId="0" borderId="25" xfId="0" applyFont="1" applyBorder="1"/>
    <xf numFmtId="0" fontId="22" fillId="0" borderId="26" xfId="0" applyFont="1" applyBorder="1" applyAlignment="1">
      <alignment horizontal="center" vertical="center"/>
    </xf>
    <xf numFmtId="0" fontId="3" fillId="0" borderId="26" xfId="0" applyFont="1" applyBorder="1"/>
    <xf numFmtId="0" fontId="23" fillId="0" borderId="5" xfId="0" applyFont="1" applyBorder="1" applyAlignment="1">
      <alignment horizontal="left" vertical="center" wrapText="1"/>
    </xf>
    <xf numFmtId="0" fontId="18" fillId="0" borderId="26" xfId="0" applyFont="1" applyBorder="1" applyAlignment="1">
      <alignment horizontal="center" vertical="center"/>
    </xf>
    <xf numFmtId="0" fontId="5" fillId="0" borderId="5" xfId="0" applyFont="1" applyBorder="1" applyAlignment="1">
      <alignment horizontal="center" vertical="center" wrapText="1"/>
    </xf>
    <xf numFmtId="0" fontId="1" fillId="4" borderId="8" xfId="0" applyFont="1" applyFill="1" applyBorder="1" applyAlignment="1">
      <alignment horizontal="center" vertical="center"/>
    </xf>
    <xf numFmtId="0" fontId="3" fillId="0" borderId="9" xfId="0" applyFont="1" applyBorder="1"/>
    <xf numFmtId="0" fontId="12" fillId="0" borderId="3" xfId="0" applyFont="1" applyBorder="1" applyAlignment="1">
      <alignment horizontal="center" vertical="center" wrapText="1"/>
    </xf>
    <xf numFmtId="0" fontId="13" fillId="0" borderId="14" xfId="0" applyFont="1" applyBorder="1" applyAlignment="1">
      <alignment horizontal="center" vertical="center" wrapText="1"/>
    </xf>
    <xf numFmtId="0" fontId="9" fillId="2" borderId="8" xfId="0" applyFont="1" applyFill="1" applyBorder="1" applyAlignment="1">
      <alignment horizontal="center" vertical="center"/>
    </xf>
    <xf numFmtId="0" fontId="12" fillId="4" borderId="8" xfId="0" applyFont="1" applyFill="1" applyBorder="1" applyAlignment="1">
      <alignment horizontal="center" vertical="center" wrapText="1"/>
    </xf>
    <xf numFmtId="0" fontId="12" fillId="0" borderId="3" xfId="0" applyFont="1" applyBorder="1" applyAlignment="1">
      <alignment horizontal="center" vertical="center"/>
    </xf>
    <xf numFmtId="0" fontId="2" fillId="2" borderId="1" xfId="0" applyFont="1" applyFill="1" applyBorder="1" applyAlignment="1">
      <alignment horizontal="center" vertical="center"/>
    </xf>
    <xf numFmtId="0" fontId="1" fillId="0" borderId="39"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76200</xdr:colOff>
      <xdr:row>0</xdr:row>
      <xdr:rowOff>133350</xdr:rowOff>
    </xdr:from>
    <xdr:ext cx="2943225" cy="15430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42" workbookViewId="0"/>
  </sheetViews>
  <sheetFormatPr baseColWidth="10" defaultColWidth="12.6640625" defaultRowHeight="15" customHeight="1"/>
  <cols>
    <col min="1" max="1" width="9.1640625" customWidth="1"/>
    <col min="2" max="3" width="72.6640625" customWidth="1"/>
    <col min="4" max="4" width="11.33203125" customWidth="1"/>
    <col min="5" max="23" width="11.33203125" hidden="1" customWidth="1"/>
    <col min="24" max="26" width="10.6640625" customWidth="1"/>
  </cols>
  <sheetData>
    <row r="1" spans="1:26" ht="30.75" customHeight="1">
      <c r="A1" s="1"/>
      <c r="B1" s="237" t="s">
        <v>0</v>
      </c>
      <c r="C1" s="208"/>
      <c r="D1" s="1"/>
      <c r="E1" s="1"/>
      <c r="F1" s="1"/>
      <c r="G1" s="1"/>
      <c r="H1" s="1"/>
      <c r="I1" s="1"/>
      <c r="J1" s="1"/>
      <c r="K1" s="1"/>
      <c r="L1" s="1"/>
      <c r="M1" s="1"/>
      <c r="N1" s="1"/>
      <c r="O1" s="1"/>
      <c r="P1" s="1"/>
      <c r="Q1" s="1"/>
      <c r="R1" s="1"/>
      <c r="S1" s="1"/>
      <c r="T1" s="1"/>
      <c r="U1" s="1"/>
      <c r="V1" s="1"/>
      <c r="W1" s="1"/>
      <c r="X1" s="1"/>
      <c r="Y1" s="1"/>
      <c r="Z1" s="1"/>
    </row>
    <row r="2" spans="1:26" ht="7.5" customHeight="1">
      <c r="A2" s="1"/>
      <c r="B2" s="2"/>
      <c r="C2" s="3"/>
      <c r="D2" s="1"/>
      <c r="E2" s="1"/>
      <c r="F2" s="1"/>
      <c r="G2" s="1"/>
      <c r="H2" s="1"/>
      <c r="I2" s="1"/>
      <c r="J2" s="1"/>
      <c r="K2" s="1"/>
      <c r="L2" s="1"/>
      <c r="M2" s="1"/>
      <c r="N2" s="1"/>
      <c r="O2" s="1"/>
      <c r="P2" s="1"/>
      <c r="Q2" s="1"/>
      <c r="R2" s="1"/>
      <c r="S2" s="1"/>
      <c r="T2" s="1"/>
      <c r="U2" s="1"/>
      <c r="V2" s="1"/>
      <c r="W2" s="1"/>
      <c r="X2" s="1"/>
      <c r="Y2" s="1"/>
      <c r="Z2" s="1"/>
    </row>
    <row r="3" spans="1:26" ht="77.25" customHeight="1">
      <c r="A3" s="1"/>
      <c r="B3" s="229" t="s">
        <v>1</v>
      </c>
      <c r="C3" s="179"/>
      <c r="D3" s="1"/>
      <c r="E3" s="1"/>
      <c r="F3" s="1"/>
      <c r="G3" s="1"/>
      <c r="H3" s="1"/>
      <c r="I3" s="1"/>
      <c r="J3" s="1"/>
      <c r="K3" s="1"/>
      <c r="L3" s="1"/>
      <c r="M3" s="1"/>
      <c r="N3" s="1"/>
      <c r="O3" s="1"/>
      <c r="P3" s="1"/>
      <c r="Q3" s="1"/>
      <c r="R3" s="1"/>
      <c r="S3" s="1"/>
      <c r="T3" s="1"/>
      <c r="U3" s="1"/>
      <c r="V3" s="1"/>
      <c r="W3" s="1"/>
      <c r="X3" s="1"/>
      <c r="Y3" s="1"/>
      <c r="Z3" s="1"/>
    </row>
    <row r="4" spans="1:26" ht="7.5" customHeight="1">
      <c r="A4" s="1"/>
      <c r="B4" s="4"/>
      <c r="C4" s="5"/>
      <c r="D4" s="1"/>
      <c r="E4" s="1"/>
      <c r="F4" s="1"/>
      <c r="G4" s="1"/>
      <c r="H4" s="1"/>
      <c r="I4" s="1"/>
      <c r="J4" s="1"/>
      <c r="K4" s="1"/>
      <c r="L4" s="1"/>
      <c r="M4" s="1"/>
      <c r="N4" s="1"/>
      <c r="O4" s="1"/>
      <c r="P4" s="1"/>
      <c r="Q4" s="1"/>
      <c r="R4" s="1"/>
      <c r="S4" s="1"/>
      <c r="T4" s="1"/>
      <c r="U4" s="1"/>
      <c r="V4" s="1"/>
      <c r="W4" s="1"/>
      <c r="X4" s="1"/>
      <c r="Y4" s="1"/>
      <c r="Z4" s="1"/>
    </row>
    <row r="5" spans="1:26" ht="43.5" customHeight="1">
      <c r="A5" s="1"/>
      <c r="B5" s="6" t="s">
        <v>2</v>
      </c>
      <c r="C5" s="6" t="s">
        <v>3</v>
      </c>
      <c r="D5" s="1"/>
      <c r="E5" s="1"/>
      <c r="F5" s="1"/>
      <c r="G5" s="1"/>
      <c r="H5" s="1"/>
      <c r="I5" s="1"/>
      <c r="J5" s="1"/>
      <c r="K5" s="1"/>
      <c r="L5" s="1"/>
      <c r="M5" s="1"/>
      <c r="N5" s="1"/>
      <c r="O5" s="1"/>
      <c r="P5" s="1"/>
      <c r="Q5" s="1"/>
      <c r="R5" s="1"/>
      <c r="S5" s="1"/>
      <c r="T5" s="1"/>
      <c r="U5" s="1"/>
      <c r="V5" s="1"/>
      <c r="W5" s="1"/>
      <c r="X5" s="1"/>
      <c r="Y5" s="1"/>
      <c r="Z5" s="1"/>
    </row>
    <row r="6" spans="1:26" ht="116.25" customHeight="1">
      <c r="A6" s="1"/>
      <c r="B6" s="7" t="s">
        <v>4</v>
      </c>
      <c r="C6" s="7" t="s">
        <v>5</v>
      </c>
      <c r="D6" s="1"/>
      <c r="E6" s="1"/>
      <c r="F6" s="1"/>
      <c r="G6" s="1"/>
      <c r="H6" s="1"/>
      <c r="I6" s="1"/>
      <c r="J6" s="1"/>
      <c r="K6" s="1"/>
      <c r="L6" s="1"/>
      <c r="M6" s="1"/>
      <c r="N6" s="1"/>
      <c r="O6" s="1"/>
      <c r="P6" s="1"/>
      <c r="Q6" s="1"/>
      <c r="R6" s="1"/>
      <c r="S6" s="1"/>
      <c r="T6" s="1"/>
      <c r="U6" s="1"/>
      <c r="V6" s="1"/>
      <c r="W6" s="1"/>
      <c r="X6" s="1"/>
      <c r="Y6" s="1"/>
      <c r="Z6" s="1"/>
    </row>
    <row r="7" spans="1:26" ht="7.5" customHeight="1">
      <c r="A7" s="1"/>
      <c r="B7" s="2"/>
      <c r="C7" s="8"/>
      <c r="D7" s="1"/>
      <c r="E7" s="1"/>
      <c r="F7" s="1"/>
      <c r="G7" s="1"/>
      <c r="H7" s="1"/>
      <c r="I7" s="1"/>
      <c r="J7" s="1"/>
      <c r="K7" s="1"/>
      <c r="L7" s="1"/>
      <c r="M7" s="1"/>
      <c r="N7" s="1"/>
      <c r="O7" s="1"/>
      <c r="P7" s="1"/>
      <c r="Q7" s="1"/>
      <c r="R7" s="1"/>
      <c r="S7" s="1"/>
      <c r="T7" s="1"/>
      <c r="U7" s="1"/>
      <c r="V7" s="1"/>
      <c r="W7" s="1"/>
      <c r="X7" s="1"/>
      <c r="Y7" s="1"/>
      <c r="Z7" s="1"/>
    </row>
    <row r="8" spans="1:26" ht="30.75" customHeight="1">
      <c r="A8" s="1"/>
      <c r="B8" s="234" t="s">
        <v>6</v>
      </c>
      <c r="C8" s="231"/>
      <c r="D8" s="1"/>
      <c r="E8" s="1"/>
      <c r="F8" s="1"/>
      <c r="G8" s="1"/>
      <c r="H8" s="1"/>
      <c r="I8" s="1"/>
      <c r="J8" s="1"/>
      <c r="K8" s="1"/>
      <c r="L8" s="1"/>
      <c r="M8" s="1"/>
      <c r="N8" s="1"/>
      <c r="O8" s="1"/>
      <c r="P8" s="1"/>
      <c r="Q8" s="1"/>
      <c r="R8" s="1"/>
      <c r="S8" s="1"/>
      <c r="T8" s="1"/>
      <c r="U8" s="1"/>
      <c r="V8" s="1"/>
      <c r="W8" s="1"/>
      <c r="X8" s="1"/>
      <c r="Y8" s="1"/>
      <c r="Z8" s="1"/>
    </row>
    <row r="9" spans="1:26" ht="14">
      <c r="A9" s="1"/>
      <c r="B9" s="9" t="s">
        <v>7</v>
      </c>
      <c r="C9" s="10" t="s">
        <v>8</v>
      </c>
      <c r="D9" s="1"/>
      <c r="E9" s="1"/>
      <c r="F9" s="1"/>
      <c r="G9" s="1"/>
      <c r="H9" s="1"/>
      <c r="I9" s="1"/>
      <c r="J9" s="1"/>
      <c r="K9" s="1"/>
      <c r="L9" s="1"/>
      <c r="M9" s="1"/>
      <c r="N9" s="1"/>
      <c r="O9" s="1"/>
      <c r="P9" s="1"/>
      <c r="Q9" s="1"/>
      <c r="R9" s="1"/>
      <c r="S9" s="1"/>
      <c r="T9" s="1"/>
      <c r="U9" s="1"/>
      <c r="V9" s="1"/>
      <c r="W9" s="1"/>
      <c r="X9" s="1"/>
      <c r="Y9" s="1"/>
      <c r="Z9" s="1"/>
    </row>
    <row r="10" spans="1:26" ht="14">
      <c r="A10" s="11"/>
      <c r="B10" s="9" t="s">
        <v>9</v>
      </c>
      <c r="C10" s="10" t="s">
        <v>10</v>
      </c>
    </row>
    <row r="11" spans="1:26" ht="28">
      <c r="A11" s="11"/>
      <c r="B11" s="9" t="s">
        <v>11</v>
      </c>
      <c r="C11" s="10" t="s">
        <v>12</v>
      </c>
    </row>
    <row r="12" spans="1:26" ht="14">
      <c r="A12" s="11"/>
      <c r="B12" s="9" t="s">
        <v>13</v>
      </c>
      <c r="C12" s="10" t="s">
        <v>14</v>
      </c>
    </row>
    <row r="13" spans="1:26" ht="56">
      <c r="A13" s="11"/>
      <c r="B13" s="12" t="s">
        <v>15</v>
      </c>
      <c r="C13" s="13" t="s">
        <v>16</v>
      </c>
    </row>
    <row r="14" spans="1:26" ht="7.5" customHeight="1">
      <c r="A14" s="11"/>
      <c r="B14" s="14"/>
      <c r="C14" s="15"/>
    </row>
    <row r="15" spans="1:26" ht="30.75" customHeight="1">
      <c r="A15" s="11"/>
      <c r="B15" s="234" t="s">
        <v>17</v>
      </c>
      <c r="C15" s="231"/>
    </row>
    <row r="16" spans="1:26" ht="42">
      <c r="A16" s="11"/>
      <c r="B16" s="9" t="s">
        <v>18</v>
      </c>
      <c r="C16" s="13" t="s">
        <v>19</v>
      </c>
    </row>
    <row r="17" spans="1:3" ht="14">
      <c r="A17" s="11"/>
      <c r="B17" s="9" t="s">
        <v>20</v>
      </c>
      <c r="C17" s="13" t="s">
        <v>21</v>
      </c>
    </row>
    <row r="18" spans="1:3" ht="14">
      <c r="A18" s="11"/>
      <c r="B18" s="9" t="s">
        <v>22</v>
      </c>
      <c r="C18" s="13" t="s">
        <v>23</v>
      </c>
    </row>
    <row r="19" spans="1:3" ht="14">
      <c r="A19" s="11"/>
      <c r="B19" s="9" t="s">
        <v>24</v>
      </c>
      <c r="C19" s="13" t="s">
        <v>25</v>
      </c>
    </row>
    <row r="20" spans="1:3" ht="14">
      <c r="A20" s="11"/>
      <c r="B20" s="9" t="s">
        <v>26</v>
      </c>
      <c r="C20" s="13" t="s">
        <v>27</v>
      </c>
    </row>
    <row r="21" spans="1:3" ht="15.75" customHeight="1">
      <c r="A21" s="11"/>
      <c r="B21" s="9" t="s">
        <v>28</v>
      </c>
      <c r="C21" s="13" t="s">
        <v>29</v>
      </c>
    </row>
    <row r="22" spans="1:3" ht="15.75" customHeight="1">
      <c r="A22" s="11"/>
      <c r="B22" s="12" t="s">
        <v>30</v>
      </c>
      <c r="C22" s="13" t="s">
        <v>31</v>
      </c>
    </row>
    <row r="23" spans="1:3" ht="7.5" customHeight="1">
      <c r="A23" s="11"/>
      <c r="B23" s="16"/>
      <c r="C23" s="17"/>
    </row>
    <row r="24" spans="1:3" ht="30.75" customHeight="1">
      <c r="A24" s="11"/>
      <c r="B24" s="234" t="s">
        <v>32</v>
      </c>
      <c r="C24" s="231"/>
    </row>
    <row r="25" spans="1:3" ht="1.5" customHeight="1">
      <c r="A25" s="11"/>
      <c r="B25" s="2"/>
      <c r="C25" s="17"/>
    </row>
    <row r="26" spans="1:3" ht="38.25" customHeight="1">
      <c r="A26" s="11"/>
      <c r="B26" s="229" t="s">
        <v>33</v>
      </c>
      <c r="C26" s="179"/>
    </row>
    <row r="27" spans="1:3" ht="5.25" customHeight="1">
      <c r="A27" s="11"/>
      <c r="B27" s="18"/>
      <c r="C27" s="19"/>
    </row>
    <row r="28" spans="1:3" ht="15.75" customHeight="1">
      <c r="A28" s="11"/>
      <c r="B28" s="9" t="s">
        <v>34</v>
      </c>
      <c r="C28" s="13" t="s">
        <v>35</v>
      </c>
    </row>
    <row r="29" spans="1:3" ht="15.75" customHeight="1">
      <c r="A29" s="11"/>
      <c r="B29" s="9" t="s">
        <v>36</v>
      </c>
      <c r="C29" s="13" t="s">
        <v>37</v>
      </c>
    </row>
    <row r="30" spans="1:3" ht="15.75" customHeight="1">
      <c r="A30" s="11"/>
      <c r="B30" s="9" t="s">
        <v>38</v>
      </c>
      <c r="C30" s="13" t="s">
        <v>39</v>
      </c>
    </row>
    <row r="31" spans="1:3" ht="15.75" customHeight="1">
      <c r="A31" s="11"/>
      <c r="B31" s="9" t="s">
        <v>40</v>
      </c>
      <c r="C31" s="13" t="s">
        <v>41</v>
      </c>
    </row>
    <row r="32" spans="1:3" ht="15.75" customHeight="1">
      <c r="A32" s="11"/>
      <c r="B32" s="9" t="s">
        <v>42</v>
      </c>
      <c r="C32" s="13" t="s">
        <v>43</v>
      </c>
    </row>
    <row r="33" spans="1:26" ht="15.75" customHeight="1">
      <c r="A33" s="11"/>
      <c r="B33" s="9" t="s">
        <v>44</v>
      </c>
      <c r="C33" s="13" t="s">
        <v>45</v>
      </c>
    </row>
    <row r="34" spans="1:26" ht="15.75" customHeight="1">
      <c r="A34" s="11"/>
      <c r="B34" s="12" t="s">
        <v>46</v>
      </c>
      <c r="C34" s="13" t="s">
        <v>47</v>
      </c>
    </row>
    <row r="35" spans="1:26" ht="5.25" customHeight="1">
      <c r="A35" s="11"/>
      <c r="B35" s="2"/>
      <c r="C35" s="17"/>
    </row>
    <row r="36" spans="1:26" ht="15.75" customHeight="1">
      <c r="A36" s="11"/>
      <c r="B36" s="9" t="s">
        <v>48</v>
      </c>
      <c r="C36" s="13" t="s">
        <v>49</v>
      </c>
    </row>
    <row r="37" spans="1:26" ht="15.75" customHeight="1">
      <c r="A37" s="11"/>
      <c r="B37" s="12" t="s">
        <v>50</v>
      </c>
      <c r="C37" s="13" t="s">
        <v>51</v>
      </c>
    </row>
    <row r="38" spans="1:26" ht="5.25" customHeight="1">
      <c r="A38" s="11"/>
      <c r="B38" s="2"/>
      <c r="C38" s="17"/>
    </row>
    <row r="39" spans="1:26" ht="78.75" customHeight="1">
      <c r="A39" s="11"/>
      <c r="B39" s="12" t="s">
        <v>52</v>
      </c>
      <c r="C39" s="20" t="s">
        <v>53</v>
      </c>
    </row>
    <row r="40" spans="1:26" ht="7.5" customHeight="1">
      <c r="A40" s="11"/>
      <c r="B40" s="230"/>
      <c r="C40" s="231"/>
    </row>
    <row r="41" spans="1:26" ht="30.75" customHeight="1">
      <c r="A41" s="11"/>
      <c r="B41" s="234" t="s">
        <v>54</v>
      </c>
      <c r="C41" s="231"/>
    </row>
    <row r="42" spans="1:26" ht="37.5" customHeight="1">
      <c r="A42" s="21"/>
      <c r="B42" s="232" t="s">
        <v>55</v>
      </c>
      <c r="C42" s="191"/>
      <c r="D42" s="22"/>
      <c r="E42" s="22"/>
      <c r="F42" s="22"/>
      <c r="G42" s="22"/>
      <c r="H42" s="22"/>
      <c r="I42" s="22"/>
      <c r="J42" s="22"/>
      <c r="K42" s="22"/>
      <c r="L42" s="22"/>
      <c r="M42" s="22"/>
      <c r="N42" s="22"/>
      <c r="O42" s="22"/>
      <c r="P42" s="22"/>
      <c r="Q42" s="22"/>
      <c r="R42" s="22"/>
      <c r="S42" s="22"/>
      <c r="T42" s="22"/>
      <c r="U42" s="22"/>
      <c r="V42" s="22"/>
      <c r="W42" s="22"/>
      <c r="X42" s="22"/>
      <c r="Y42" s="22"/>
      <c r="Z42" s="22"/>
    </row>
    <row r="43" spans="1:26" ht="7.5" customHeight="1">
      <c r="A43" s="11"/>
      <c r="B43" s="23"/>
      <c r="C43" s="24"/>
    </row>
    <row r="44" spans="1:26" ht="30.75" customHeight="1">
      <c r="A44" s="11"/>
      <c r="B44" s="234" t="s">
        <v>56</v>
      </c>
      <c r="C44" s="231"/>
    </row>
    <row r="45" spans="1:26" ht="11.25" customHeight="1">
      <c r="A45" s="11"/>
      <c r="B45" s="2"/>
      <c r="C45" s="25"/>
    </row>
    <row r="46" spans="1:26" ht="32.25" customHeight="1">
      <c r="A46" s="11"/>
      <c r="B46" s="235" t="s">
        <v>57</v>
      </c>
      <c r="C46" s="231"/>
    </row>
    <row r="47" spans="1:26" ht="7.5" customHeight="1">
      <c r="A47" s="11"/>
      <c r="B47" s="26"/>
      <c r="C47" s="27"/>
    </row>
    <row r="48" spans="1:26" ht="30.75" customHeight="1">
      <c r="A48" s="11"/>
      <c r="B48" s="234" t="s">
        <v>58</v>
      </c>
      <c r="C48" s="231"/>
    </row>
    <row r="49" spans="1:26" ht="20.25" customHeight="1">
      <c r="A49" s="21"/>
      <c r="B49" s="236" t="s">
        <v>59</v>
      </c>
      <c r="C49" s="191"/>
      <c r="D49" s="22"/>
      <c r="E49" s="22"/>
      <c r="F49" s="22"/>
      <c r="G49" s="22"/>
      <c r="H49" s="22"/>
      <c r="I49" s="22"/>
      <c r="J49" s="22"/>
      <c r="K49" s="22"/>
      <c r="L49" s="22"/>
      <c r="M49" s="22"/>
      <c r="N49" s="22"/>
      <c r="O49" s="22"/>
      <c r="P49" s="22"/>
      <c r="Q49" s="22"/>
      <c r="R49" s="22"/>
      <c r="S49" s="22"/>
      <c r="T49" s="22"/>
      <c r="U49" s="22"/>
      <c r="V49" s="22"/>
      <c r="W49" s="22"/>
      <c r="X49" s="22"/>
      <c r="Y49" s="22"/>
      <c r="Z49" s="22"/>
    </row>
    <row r="50" spans="1:26" ht="7.5" customHeight="1">
      <c r="A50" s="11"/>
      <c r="B50" s="2"/>
      <c r="C50" s="17"/>
    </row>
    <row r="51" spans="1:26" ht="30.75" customHeight="1">
      <c r="A51" s="11"/>
      <c r="B51" s="234" t="s">
        <v>60</v>
      </c>
      <c r="C51" s="231"/>
    </row>
    <row r="52" spans="1:26" ht="57" customHeight="1">
      <c r="A52" s="11"/>
      <c r="B52" s="232" t="s">
        <v>61</v>
      </c>
      <c r="C52" s="191"/>
    </row>
    <row r="53" spans="1:26" ht="7.5" customHeight="1">
      <c r="A53" s="11"/>
      <c r="B53" s="28"/>
      <c r="C53" s="24"/>
    </row>
    <row r="54" spans="1:26" ht="39" customHeight="1">
      <c r="A54" s="11"/>
      <c r="B54" s="233" t="s">
        <v>62</v>
      </c>
      <c r="C54" s="194"/>
    </row>
    <row r="55" spans="1:26" ht="14.25" customHeight="1">
      <c r="A55" s="11"/>
    </row>
    <row r="56" spans="1:26" ht="14.25" customHeight="1">
      <c r="A56" s="11"/>
    </row>
    <row r="57" spans="1:26" ht="14.25" hidden="1" customHeight="1">
      <c r="A57" s="11"/>
    </row>
    <row r="58" spans="1:26" ht="14.25" hidden="1" customHeight="1">
      <c r="A58" s="11"/>
    </row>
    <row r="59" spans="1:26" ht="14.25" hidden="1" customHeight="1">
      <c r="A59" s="11"/>
    </row>
    <row r="60" spans="1:26" ht="14.25" hidden="1" customHeight="1">
      <c r="A60" s="11"/>
    </row>
    <row r="61" spans="1:26" ht="14.25" hidden="1" customHeight="1">
      <c r="A61" s="11"/>
    </row>
    <row r="62" spans="1:26" ht="14.25" hidden="1" customHeight="1">
      <c r="A62" s="11"/>
    </row>
    <row r="63" spans="1:26" ht="14.25" hidden="1" customHeight="1">
      <c r="A63" s="11"/>
    </row>
    <row r="64" spans="1:26" ht="14.25" hidden="1" customHeight="1">
      <c r="A64" s="11"/>
    </row>
    <row r="65" spans="1:1" ht="14.25" hidden="1" customHeight="1">
      <c r="A65" s="11"/>
    </row>
    <row r="66" spans="1:1" ht="14.25" hidden="1" customHeight="1">
      <c r="A66" s="11"/>
    </row>
    <row r="67" spans="1:1" ht="14.25" hidden="1" customHeight="1">
      <c r="A67" s="11"/>
    </row>
    <row r="68" spans="1:1" ht="14.25" hidden="1" customHeight="1">
      <c r="A68" s="11"/>
    </row>
    <row r="69" spans="1:1" ht="14.25" hidden="1" customHeight="1">
      <c r="A69" s="11"/>
    </row>
    <row r="70" spans="1:1" ht="14.25" hidden="1" customHeight="1">
      <c r="A70" s="11"/>
    </row>
    <row r="71" spans="1:1" ht="14.25" hidden="1" customHeight="1">
      <c r="A71" s="11"/>
    </row>
    <row r="72" spans="1:1" ht="14.25" hidden="1" customHeight="1">
      <c r="A72" s="11"/>
    </row>
    <row r="73" spans="1:1" ht="14.25" hidden="1" customHeight="1">
      <c r="A73" s="11"/>
    </row>
    <row r="74" spans="1:1" ht="14.25" hidden="1" customHeight="1">
      <c r="A74" s="11"/>
    </row>
    <row r="75" spans="1:1" ht="14.25" hidden="1" customHeight="1">
      <c r="A75" s="11"/>
    </row>
    <row r="76" spans="1:1" ht="14.25" hidden="1" customHeight="1">
      <c r="A76" s="11"/>
    </row>
    <row r="77" spans="1:1" ht="14.25" hidden="1" customHeight="1">
      <c r="A77" s="11"/>
    </row>
    <row r="78" spans="1:1" ht="14.25" hidden="1" customHeight="1">
      <c r="A78" s="11"/>
    </row>
    <row r="79" spans="1:1" ht="14.25" hidden="1" customHeight="1">
      <c r="A79" s="11"/>
    </row>
    <row r="80" spans="1:1" ht="14.25" hidden="1" customHeight="1">
      <c r="A80" s="11"/>
    </row>
    <row r="81" spans="1:1" ht="14.25" hidden="1" customHeight="1">
      <c r="A81" s="11"/>
    </row>
    <row r="82" spans="1:1" ht="14.25" hidden="1" customHeight="1">
      <c r="A82" s="11"/>
    </row>
    <row r="83" spans="1:1" ht="14.25" hidden="1" customHeight="1">
      <c r="A83" s="11"/>
    </row>
    <row r="84" spans="1:1" ht="14.25" hidden="1" customHeight="1">
      <c r="A84" s="11"/>
    </row>
    <row r="85" spans="1:1" ht="14.25" hidden="1" customHeight="1">
      <c r="A85" s="11"/>
    </row>
    <row r="86" spans="1:1" ht="14.25" hidden="1" customHeight="1">
      <c r="A86" s="11"/>
    </row>
    <row r="87" spans="1:1" ht="14.25" hidden="1" customHeight="1">
      <c r="A87" s="11"/>
    </row>
    <row r="88" spans="1:1" ht="14.25" hidden="1" customHeight="1">
      <c r="A88" s="11"/>
    </row>
    <row r="89" spans="1:1" ht="14.25" hidden="1" customHeight="1">
      <c r="A89" s="11"/>
    </row>
    <row r="90" spans="1:1" ht="14.25" hidden="1" customHeight="1">
      <c r="A90" s="11"/>
    </row>
    <row r="91" spans="1:1" ht="14.25" hidden="1" customHeight="1">
      <c r="A91" s="11"/>
    </row>
    <row r="92" spans="1:1" ht="14.25" hidden="1" customHeight="1">
      <c r="A92" s="11"/>
    </row>
    <row r="93" spans="1:1" ht="14.25" hidden="1" customHeight="1">
      <c r="A93" s="11"/>
    </row>
    <row r="94" spans="1:1" ht="14.25" hidden="1" customHeight="1">
      <c r="A94" s="11"/>
    </row>
    <row r="95" spans="1:1" ht="14.25" hidden="1" customHeight="1">
      <c r="A95" s="11"/>
    </row>
    <row r="96" spans="1:1" ht="14.25" hidden="1" customHeight="1">
      <c r="A96" s="11"/>
    </row>
    <row r="97" spans="1:1" ht="14.25" hidden="1" customHeight="1">
      <c r="A97" s="11"/>
    </row>
    <row r="98" spans="1:1" ht="14.25" hidden="1" customHeight="1">
      <c r="A98" s="11"/>
    </row>
    <row r="99" spans="1:1" ht="14.25" hidden="1" customHeight="1">
      <c r="A99" s="11"/>
    </row>
    <row r="100" spans="1:1" ht="14.25" hidden="1" customHeight="1">
      <c r="A100" s="11"/>
    </row>
    <row r="101" spans="1:1" ht="14.25" hidden="1" customHeight="1">
      <c r="A101" s="11"/>
    </row>
    <row r="102" spans="1:1" ht="14.25" hidden="1" customHeight="1">
      <c r="A102" s="11"/>
    </row>
    <row r="103" spans="1:1" ht="14.25" hidden="1" customHeight="1">
      <c r="A103" s="11"/>
    </row>
    <row r="104" spans="1:1" ht="14.25" hidden="1" customHeight="1">
      <c r="A104" s="11"/>
    </row>
    <row r="105" spans="1:1" ht="14.25" hidden="1" customHeight="1">
      <c r="A105" s="11"/>
    </row>
    <row r="106" spans="1:1" ht="14.25" hidden="1" customHeight="1">
      <c r="A106" s="11"/>
    </row>
    <row r="107" spans="1:1" ht="14.25" hidden="1" customHeight="1">
      <c r="A107" s="11"/>
    </row>
    <row r="108" spans="1:1" ht="14.25" hidden="1" customHeight="1">
      <c r="A108" s="11"/>
    </row>
    <row r="109" spans="1:1" ht="14.25" hidden="1" customHeight="1">
      <c r="A109" s="11"/>
    </row>
    <row r="110" spans="1:1" ht="14.25" hidden="1" customHeight="1">
      <c r="A110" s="11"/>
    </row>
    <row r="111" spans="1:1" ht="14.25" hidden="1" customHeight="1">
      <c r="A111" s="11"/>
    </row>
    <row r="112" spans="1:1" ht="14.25" hidden="1" customHeight="1">
      <c r="A112" s="11"/>
    </row>
    <row r="113" spans="1:1" ht="14.25" hidden="1" customHeight="1">
      <c r="A113" s="11"/>
    </row>
    <row r="114" spans="1:1" ht="14.25" hidden="1" customHeight="1">
      <c r="A114" s="11"/>
    </row>
    <row r="115" spans="1:1" ht="14.25" hidden="1" customHeight="1">
      <c r="A115" s="11"/>
    </row>
    <row r="116" spans="1:1" ht="14.25" hidden="1" customHeight="1">
      <c r="A116" s="11"/>
    </row>
    <row r="117" spans="1:1" ht="14.25" hidden="1" customHeight="1">
      <c r="A117" s="11"/>
    </row>
    <row r="118" spans="1:1" ht="14.25" hidden="1" customHeight="1">
      <c r="A118" s="11"/>
    </row>
    <row r="119" spans="1:1" ht="14.25" hidden="1" customHeight="1">
      <c r="A119" s="11"/>
    </row>
    <row r="120" spans="1:1" ht="14.25" hidden="1" customHeight="1">
      <c r="A120" s="11"/>
    </row>
    <row r="121" spans="1:1" ht="14.25" hidden="1" customHeight="1">
      <c r="A121" s="11"/>
    </row>
    <row r="122" spans="1:1" ht="14.25" hidden="1" customHeight="1">
      <c r="A122" s="11"/>
    </row>
    <row r="123" spans="1:1" ht="14.25" hidden="1" customHeight="1">
      <c r="A123" s="11"/>
    </row>
    <row r="124" spans="1:1" ht="14.25" hidden="1" customHeight="1">
      <c r="A124" s="11"/>
    </row>
    <row r="125" spans="1:1" ht="14.25" hidden="1" customHeight="1">
      <c r="A125" s="11"/>
    </row>
    <row r="126" spans="1:1" ht="14.25" hidden="1" customHeight="1">
      <c r="A126" s="11"/>
    </row>
    <row r="127" spans="1:1" ht="14.25" hidden="1" customHeight="1">
      <c r="A127" s="11"/>
    </row>
    <row r="128" spans="1:1" ht="14.25" hidden="1" customHeight="1">
      <c r="A128" s="11"/>
    </row>
    <row r="129" spans="1:1" ht="14.25" hidden="1" customHeight="1">
      <c r="A129" s="11"/>
    </row>
    <row r="130" spans="1:1" ht="14.25" hidden="1" customHeight="1">
      <c r="A130" s="11"/>
    </row>
    <row r="131" spans="1:1" ht="14.25" hidden="1" customHeight="1">
      <c r="A131" s="11"/>
    </row>
    <row r="132" spans="1:1" ht="14.25" hidden="1" customHeight="1">
      <c r="A132" s="11"/>
    </row>
    <row r="133" spans="1:1" ht="14.25" hidden="1" customHeight="1">
      <c r="A133" s="11"/>
    </row>
    <row r="134" spans="1:1" ht="14.25" hidden="1" customHeight="1">
      <c r="A134" s="11"/>
    </row>
    <row r="135" spans="1:1" ht="14.25" hidden="1" customHeight="1">
      <c r="A135" s="11"/>
    </row>
    <row r="136" spans="1:1" ht="14.25" hidden="1" customHeight="1">
      <c r="A136" s="11"/>
    </row>
    <row r="137" spans="1:1" ht="14.25" hidden="1" customHeight="1">
      <c r="A137" s="11"/>
    </row>
    <row r="138" spans="1:1" ht="14.25" hidden="1" customHeight="1">
      <c r="A138" s="11"/>
    </row>
    <row r="139" spans="1:1" ht="14.25" hidden="1" customHeight="1">
      <c r="A139" s="11"/>
    </row>
    <row r="140" spans="1:1" ht="14.25" hidden="1" customHeight="1">
      <c r="A140" s="11"/>
    </row>
    <row r="141" spans="1:1" ht="14.25" hidden="1" customHeight="1">
      <c r="A141" s="11"/>
    </row>
    <row r="142" spans="1:1" ht="14.25" hidden="1" customHeight="1">
      <c r="A142" s="11"/>
    </row>
    <row r="143" spans="1:1" ht="14.25" hidden="1" customHeight="1">
      <c r="A143" s="11"/>
    </row>
    <row r="144" spans="1:1" ht="14.25" hidden="1" customHeight="1">
      <c r="A144" s="11"/>
    </row>
    <row r="145" spans="1:1" ht="14.25" hidden="1" customHeight="1">
      <c r="A145" s="11"/>
    </row>
    <row r="146" spans="1:1" ht="14.25" hidden="1" customHeight="1">
      <c r="A146" s="11"/>
    </row>
    <row r="147" spans="1:1" ht="14.25" hidden="1" customHeight="1">
      <c r="A147" s="11"/>
    </row>
    <row r="148" spans="1:1" ht="14.25" hidden="1" customHeight="1">
      <c r="A148" s="11"/>
    </row>
    <row r="149" spans="1:1" ht="14.25" hidden="1" customHeight="1">
      <c r="A149" s="11"/>
    </row>
    <row r="150" spans="1:1" ht="14.25" hidden="1" customHeight="1">
      <c r="A150" s="11"/>
    </row>
    <row r="151" spans="1:1" ht="14.25" hidden="1" customHeight="1">
      <c r="A151" s="11"/>
    </row>
    <row r="152" spans="1:1" ht="14.25" hidden="1" customHeight="1">
      <c r="A152" s="11"/>
    </row>
    <row r="153" spans="1:1" ht="14.25" hidden="1" customHeight="1">
      <c r="A153" s="11"/>
    </row>
    <row r="154" spans="1:1" ht="14.25" hidden="1" customHeight="1">
      <c r="A154" s="11"/>
    </row>
    <row r="155" spans="1:1" ht="14.25" hidden="1" customHeight="1">
      <c r="A155" s="11"/>
    </row>
    <row r="156" spans="1:1" ht="14.25" hidden="1" customHeight="1">
      <c r="A156" s="11"/>
    </row>
    <row r="157" spans="1:1" ht="14.25" hidden="1" customHeight="1">
      <c r="A157" s="11"/>
    </row>
    <row r="158" spans="1:1" ht="14.25" hidden="1" customHeight="1">
      <c r="A158" s="11"/>
    </row>
    <row r="159" spans="1:1" ht="14.25" hidden="1" customHeight="1">
      <c r="A159" s="11"/>
    </row>
    <row r="160" spans="1:1" ht="14.25" hidden="1" customHeight="1">
      <c r="A160" s="11"/>
    </row>
    <row r="161" spans="1:1" ht="14.25" hidden="1" customHeight="1">
      <c r="A161" s="11"/>
    </row>
    <row r="162" spans="1:1" ht="14.25" hidden="1" customHeight="1">
      <c r="A162" s="11"/>
    </row>
    <row r="163" spans="1:1" ht="14.25" hidden="1" customHeight="1">
      <c r="A163" s="11"/>
    </row>
    <row r="164" spans="1:1" ht="14.25" hidden="1" customHeight="1">
      <c r="A164" s="11"/>
    </row>
    <row r="165" spans="1:1" ht="14.25" hidden="1" customHeight="1">
      <c r="A165" s="11"/>
    </row>
    <row r="166" spans="1:1" ht="14.25" hidden="1" customHeight="1">
      <c r="A166" s="11"/>
    </row>
    <row r="167" spans="1:1" ht="14.25" hidden="1" customHeight="1">
      <c r="A167" s="11"/>
    </row>
    <row r="168" spans="1:1" ht="14.25" hidden="1" customHeight="1">
      <c r="A168" s="11"/>
    </row>
    <row r="169" spans="1:1" ht="14.25" hidden="1" customHeight="1">
      <c r="A169" s="11"/>
    </row>
    <row r="170" spans="1:1" ht="14.25" hidden="1" customHeight="1">
      <c r="A170" s="11"/>
    </row>
    <row r="171" spans="1:1" ht="14.25" hidden="1" customHeight="1">
      <c r="A171" s="11"/>
    </row>
    <row r="172" spans="1:1" ht="14.25" hidden="1" customHeight="1">
      <c r="A172" s="11"/>
    </row>
    <row r="173" spans="1:1" ht="14.25" hidden="1" customHeight="1">
      <c r="A173" s="11"/>
    </row>
    <row r="174" spans="1:1" ht="14.25" hidden="1" customHeight="1">
      <c r="A174" s="11"/>
    </row>
    <row r="175" spans="1:1" ht="14.25" hidden="1" customHeight="1">
      <c r="A175" s="11"/>
    </row>
    <row r="176" spans="1:1" ht="14.25" hidden="1" customHeight="1">
      <c r="A176" s="11"/>
    </row>
    <row r="177" spans="1:1" ht="14.25" hidden="1" customHeight="1">
      <c r="A177" s="11"/>
    </row>
    <row r="178" spans="1:1" ht="14.25" hidden="1" customHeight="1">
      <c r="A178" s="11"/>
    </row>
    <row r="179" spans="1:1" ht="14.25" hidden="1" customHeight="1">
      <c r="A179" s="11"/>
    </row>
    <row r="180" spans="1:1" ht="14.25" hidden="1" customHeight="1">
      <c r="A180" s="11"/>
    </row>
    <row r="181" spans="1:1" ht="14.25" hidden="1" customHeight="1">
      <c r="A181" s="11"/>
    </row>
    <row r="182" spans="1:1" ht="14.25" hidden="1" customHeight="1">
      <c r="A182" s="11"/>
    </row>
    <row r="183" spans="1:1" ht="14.25" hidden="1" customHeight="1">
      <c r="A183" s="11"/>
    </row>
    <row r="184" spans="1:1" ht="14.25" hidden="1" customHeight="1">
      <c r="A184" s="11"/>
    </row>
    <row r="185" spans="1:1" ht="14.25" hidden="1" customHeight="1">
      <c r="A185" s="11"/>
    </row>
    <row r="186" spans="1:1" ht="14.25" hidden="1" customHeight="1">
      <c r="A186" s="11"/>
    </row>
    <row r="187" spans="1:1" ht="14.25" hidden="1" customHeight="1">
      <c r="A187" s="11"/>
    </row>
    <row r="188" spans="1:1" ht="14.25" hidden="1" customHeight="1">
      <c r="A188" s="11"/>
    </row>
    <row r="189" spans="1:1" ht="14.25" hidden="1" customHeight="1">
      <c r="A189" s="11"/>
    </row>
    <row r="190" spans="1:1" ht="14.25" hidden="1" customHeight="1">
      <c r="A190" s="11"/>
    </row>
    <row r="191" spans="1:1" ht="14.25" hidden="1" customHeight="1">
      <c r="A191" s="11"/>
    </row>
    <row r="192" spans="1:1" ht="14.25" hidden="1" customHeight="1">
      <c r="A192" s="11"/>
    </row>
    <row r="193" spans="1:1" ht="14.25" hidden="1" customHeight="1">
      <c r="A193" s="11"/>
    </row>
    <row r="194" spans="1:1" ht="14.25" hidden="1" customHeight="1">
      <c r="A194" s="11"/>
    </row>
    <row r="195" spans="1:1" ht="14.25" hidden="1" customHeight="1">
      <c r="A195" s="11"/>
    </row>
    <row r="196" spans="1:1" ht="14.25" hidden="1" customHeight="1">
      <c r="A196" s="11"/>
    </row>
    <row r="197" spans="1:1" ht="14.25" hidden="1" customHeight="1">
      <c r="A197" s="11"/>
    </row>
    <row r="198" spans="1:1" ht="14.25" hidden="1" customHeight="1">
      <c r="A198" s="11"/>
    </row>
    <row r="199" spans="1:1" ht="14.25" hidden="1" customHeight="1">
      <c r="A199" s="11"/>
    </row>
    <row r="200" spans="1:1" ht="14.25" hidden="1" customHeight="1">
      <c r="A200" s="11"/>
    </row>
    <row r="201" spans="1:1" ht="14.25" hidden="1" customHeight="1">
      <c r="A201" s="11"/>
    </row>
    <row r="202" spans="1:1" ht="14.25" hidden="1" customHeight="1">
      <c r="A202" s="11"/>
    </row>
    <row r="203" spans="1:1" ht="14.25" hidden="1" customHeight="1">
      <c r="A203" s="11"/>
    </row>
    <row r="204" spans="1:1" ht="14.25" hidden="1" customHeight="1">
      <c r="A204" s="11"/>
    </row>
    <row r="205" spans="1:1" ht="14.25" hidden="1" customHeight="1">
      <c r="A205" s="11"/>
    </row>
    <row r="206" spans="1:1" ht="14.25" hidden="1" customHeight="1">
      <c r="A206" s="11"/>
    </row>
    <row r="207" spans="1:1" ht="14.25" hidden="1" customHeight="1">
      <c r="A207" s="11"/>
    </row>
    <row r="208" spans="1:1" ht="14.25" hidden="1" customHeight="1">
      <c r="A208" s="11"/>
    </row>
    <row r="209" spans="1:1" ht="14.25" hidden="1" customHeight="1">
      <c r="A209" s="11"/>
    </row>
    <row r="210" spans="1:1" ht="14.25" hidden="1" customHeight="1">
      <c r="A210" s="11"/>
    </row>
    <row r="211" spans="1:1" ht="14.25" hidden="1" customHeight="1">
      <c r="A211" s="11"/>
    </row>
    <row r="212" spans="1:1" ht="14.25" hidden="1" customHeight="1">
      <c r="A212" s="11"/>
    </row>
    <row r="213" spans="1:1" ht="14.25" hidden="1" customHeight="1">
      <c r="A213" s="11"/>
    </row>
    <row r="214" spans="1:1" ht="14.25" hidden="1" customHeight="1">
      <c r="A214" s="11"/>
    </row>
    <row r="215" spans="1:1" ht="14.25" hidden="1" customHeight="1">
      <c r="A215" s="11"/>
    </row>
    <row r="216" spans="1:1" ht="14.25" hidden="1" customHeight="1">
      <c r="A216" s="11"/>
    </row>
    <row r="217" spans="1:1" ht="14.25" hidden="1" customHeight="1">
      <c r="A217" s="11"/>
    </row>
    <row r="218" spans="1:1" ht="14.25" hidden="1" customHeight="1">
      <c r="A218" s="11"/>
    </row>
    <row r="219" spans="1:1" ht="14.25" hidden="1" customHeight="1">
      <c r="A219" s="11"/>
    </row>
    <row r="220" spans="1:1" ht="14.25" hidden="1" customHeight="1">
      <c r="A220" s="11"/>
    </row>
    <row r="221" spans="1:1" ht="14.25" hidden="1" customHeight="1">
      <c r="A221" s="11"/>
    </row>
    <row r="222" spans="1:1" ht="14.25" hidden="1" customHeight="1">
      <c r="A222" s="11"/>
    </row>
    <row r="223" spans="1:1" ht="14.25" hidden="1" customHeight="1">
      <c r="A223" s="11"/>
    </row>
    <row r="224" spans="1:1" ht="14.25" hidden="1" customHeight="1">
      <c r="A224" s="11"/>
    </row>
    <row r="225" spans="1:1" ht="14.25" hidden="1" customHeight="1">
      <c r="A225" s="11"/>
    </row>
    <row r="226" spans="1:1" ht="14.25" hidden="1" customHeight="1">
      <c r="A226" s="11"/>
    </row>
    <row r="227" spans="1:1" ht="14.25" hidden="1" customHeight="1">
      <c r="A227" s="11"/>
    </row>
    <row r="228" spans="1:1" ht="14.25" hidden="1" customHeight="1">
      <c r="A228" s="11"/>
    </row>
    <row r="229" spans="1:1" ht="14.25" hidden="1" customHeight="1">
      <c r="A229" s="11"/>
    </row>
    <row r="230" spans="1:1" ht="14.25" hidden="1" customHeight="1">
      <c r="A230" s="11"/>
    </row>
    <row r="231" spans="1:1" ht="14.25" hidden="1" customHeight="1">
      <c r="A231" s="11"/>
    </row>
    <row r="232" spans="1:1" ht="14.25" hidden="1" customHeight="1">
      <c r="A232" s="11"/>
    </row>
    <row r="233" spans="1:1" ht="14.25" hidden="1" customHeight="1">
      <c r="A233" s="11"/>
    </row>
    <row r="234" spans="1:1" ht="14.25" hidden="1" customHeight="1">
      <c r="A234" s="11"/>
    </row>
    <row r="235" spans="1:1" ht="14.25" hidden="1" customHeight="1">
      <c r="A235" s="11"/>
    </row>
    <row r="236" spans="1:1" ht="14.25" hidden="1" customHeight="1">
      <c r="A236" s="11"/>
    </row>
    <row r="237" spans="1:1" ht="14.25" hidden="1" customHeight="1">
      <c r="A237" s="11"/>
    </row>
    <row r="238" spans="1:1" ht="14.25" hidden="1" customHeight="1">
      <c r="A238" s="11"/>
    </row>
    <row r="239" spans="1:1" ht="14.25" hidden="1" customHeight="1">
      <c r="A239" s="11"/>
    </row>
    <row r="240" spans="1:1" ht="14.25" hidden="1" customHeight="1">
      <c r="A240" s="11"/>
    </row>
    <row r="241" spans="1:1" ht="14.25" hidden="1" customHeight="1">
      <c r="A241" s="11"/>
    </row>
    <row r="242" spans="1:1" ht="14.25" hidden="1" customHeight="1">
      <c r="A242" s="11"/>
    </row>
    <row r="243" spans="1:1" ht="14.25" hidden="1" customHeight="1">
      <c r="A243" s="11"/>
    </row>
    <row r="244" spans="1:1" ht="14.25" hidden="1" customHeight="1">
      <c r="A244" s="11"/>
    </row>
    <row r="245" spans="1:1" ht="14.25" hidden="1" customHeight="1">
      <c r="A245" s="11"/>
    </row>
    <row r="246" spans="1:1" ht="14.25" hidden="1" customHeight="1">
      <c r="A246" s="11"/>
    </row>
    <row r="247" spans="1:1" ht="14.25" hidden="1" customHeight="1">
      <c r="A247" s="11"/>
    </row>
    <row r="248" spans="1:1" ht="14.25" hidden="1" customHeight="1">
      <c r="A248" s="11"/>
    </row>
    <row r="249" spans="1:1" ht="14.25" hidden="1" customHeight="1">
      <c r="A249" s="11"/>
    </row>
    <row r="250" spans="1:1" ht="14.25" hidden="1" customHeight="1">
      <c r="A250" s="11"/>
    </row>
    <row r="251" spans="1:1" ht="14.25" hidden="1" customHeight="1">
      <c r="A251" s="11"/>
    </row>
    <row r="252" spans="1:1" ht="14.25" hidden="1" customHeight="1">
      <c r="A252" s="11"/>
    </row>
    <row r="253" spans="1:1" ht="14.25" hidden="1" customHeight="1">
      <c r="A253" s="11"/>
    </row>
    <row r="254" spans="1:1" ht="14.25" hidden="1" customHeight="1">
      <c r="A254" s="11"/>
    </row>
    <row r="255" spans="1:1" ht="15.75" customHeight="1"/>
    <row r="256" spans="1: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C1"/>
    <mergeCell ref="B3:C3"/>
    <mergeCell ref="B8:C8"/>
    <mergeCell ref="B15:C15"/>
    <mergeCell ref="B24:C24"/>
    <mergeCell ref="B26:C26"/>
    <mergeCell ref="B40:C40"/>
    <mergeCell ref="B52:C52"/>
    <mergeCell ref="B54:C54"/>
    <mergeCell ref="B41:C41"/>
    <mergeCell ref="B42:C42"/>
    <mergeCell ref="B44:C44"/>
    <mergeCell ref="B46:C46"/>
    <mergeCell ref="B48:C48"/>
    <mergeCell ref="B49:C49"/>
    <mergeCell ref="B51:C5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zoomScale="58" zoomScaleNormal="58" workbookViewId="0">
      <selection activeCell="D37" sqref="D37"/>
    </sheetView>
  </sheetViews>
  <sheetFormatPr baseColWidth="10" defaultColWidth="12.6640625" defaultRowHeight="15" customHeight="1"/>
  <cols>
    <col min="1" max="1" width="5" customWidth="1"/>
    <col min="2" max="2" width="38.6640625" customWidth="1"/>
    <col min="3" max="3" width="19.6640625" customWidth="1"/>
    <col min="4" max="4" width="35" customWidth="1"/>
    <col min="5" max="5" width="19.6640625" customWidth="1"/>
    <col min="6" max="6" width="22.33203125" customWidth="1"/>
    <col min="7" max="8" width="22.6640625" customWidth="1"/>
    <col min="9" max="9" width="24.83203125" customWidth="1"/>
    <col min="10" max="10" width="8.6640625" customWidth="1"/>
    <col min="11" max="26" width="10.6640625" customWidth="1"/>
  </cols>
  <sheetData>
    <row r="1" spans="1:26" ht="36.75" customHeight="1">
      <c r="A1" s="29"/>
      <c r="B1" s="30"/>
      <c r="C1" s="30"/>
      <c r="D1" s="30"/>
      <c r="E1" s="30"/>
      <c r="F1" s="30"/>
      <c r="G1" s="30"/>
      <c r="H1" s="30"/>
      <c r="I1" s="30"/>
      <c r="J1" s="31"/>
      <c r="K1" s="1"/>
      <c r="L1" s="1"/>
      <c r="M1" s="1"/>
      <c r="N1" s="1"/>
      <c r="O1" s="1"/>
      <c r="P1" s="1"/>
      <c r="Q1" s="1"/>
      <c r="R1" s="1"/>
      <c r="S1" s="1"/>
      <c r="T1" s="1"/>
      <c r="U1" s="1"/>
      <c r="V1" s="1"/>
      <c r="W1" s="1"/>
      <c r="X1" s="1"/>
      <c r="Y1" s="1"/>
      <c r="Z1" s="1"/>
    </row>
    <row r="2" spans="1:26" ht="17.25" customHeight="1">
      <c r="A2" s="32"/>
      <c r="B2" s="33" t="s">
        <v>63</v>
      </c>
      <c r="C2" s="34"/>
      <c r="D2" s="34"/>
      <c r="E2" s="34"/>
      <c r="F2" s="34"/>
      <c r="G2" s="34"/>
      <c r="H2" s="34"/>
      <c r="I2" s="34"/>
      <c r="J2" s="35"/>
      <c r="K2" s="1"/>
      <c r="L2" s="1"/>
      <c r="M2" s="1"/>
      <c r="N2" s="1"/>
      <c r="O2" s="1"/>
      <c r="P2" s="1"/>
      <c r="Q2" s="1"/>
      <c r="R2" s="1"/>
      <c r="S2" s="1"/>
      <c r="T2" s="1"/>
      <c r="U2" s="1"/>
      <c r="V2" s="1"/>
      <c r="W2" s="1"/>
      <c r="X2" s="1"/>
      <c r="Y2" s="1"/>
      <c r="Z2" s="1"/>
    </row>
    <row r="3" spans="1:26" ht="19.5" customHeight="1">
      <c r="A3" s="32"/>
      <c r="B3" s="33" t="s">
        <v>64</v>
      </c>
      <c r="C3" s="34"/>
      <c r="D3" s="34"/>
      <c r="E3" s="34"/>
      <c r="F3" s="34"/>
      <c r="G3" s="34"/>
      <c r="H3" s="34"/>
      <c r="I3" s="34"/>
      <c r="J3" s="35"/>
      <c r="K3" s="1"/>
      <c r="L3" s="1"/>
      <c r="M3" s="1"/>
      <c r="N3" s="1"/>
      <c r="O3" s="1"/>
      <c r="P3" s="1"/>
      <c r="Q3" s="1"/>
      <c r="R3" s="1"/>
      <c r="S3" s="1"/>
      <c r="T3" s="1"/>
      <c r="U3" s="1"/>
      <c r="V3" s="1"/>
      <c r="W3" s="1"/>
      <c r="X3" s="1"/>
      <c r="Y3" s="1"/>
      <c r="Z3" s="1"/>
    </row>
    <row r="4" spans="1:26" ht="18.75" customHeight="1">
      <c r="A4" s="32"/>
      <c r="B4" s="33" t="s">
        <v>65</v>
      </c>
      <c r="C4" s="34"/>
      <c r="D4" s="34"/>
      <c r="E4" s="34"/>
      <c r="F4" s="34"/>
      <c r="G4" s="34"/>
      <c r="H4" s="34"/>
      <c r="I4" s="34"/>
      <c r="J4" s="35"/>
      <c r="K4" s="1"/>
      <c r="L4" s="1"/>
      <c r="M4" s="1"/>
      <c r="N4" s="1"/>
      <c r="O4" s="1"/>
      <c r="P4" s="1"/>
      <c r="Q4" s="1"/>
      <c r="R4" s="1"/>
      <c r="S4" s="1"/>
      <c r="T4" s="1"/>
      <c r="U4" s="1"/>
      <c r="V4" s="1"/>
      <c r="W4" s="1"/>
      <c r="X4" s="1"/>
      <c r="Y4" s="1"/>
      <c r="Z4" s="1"/>
    </row>
    <row r="5" spans="1:26" ht="27" customHeight="1">
      <c r="A5" s="32"/>
      <c r="B5" s="36"/>
      <c r="C5" s="37"/>
      <c r="D5" s="37"/>
      <c r="E5" s="37"/>
      <c r="F5" s="37"/>
      <c r="G5" s="37"/>
      <c r="H5" s="37"/>
      <c r="I5" s="37"/>
      <c r="J5" s="38"/>
      <c r="K5" s="1"/>
      <c r="L5" s="1"/>
      <c r="M5" s="1"/>
      <c r="N5" s="1"/>
      <c r="O5" s="1"/>
      <c r="P5" s="1"/>
      <c r="Q5" s="1"/>
      <c r="R5" s="1"/>
      <c r="S5" s="1"/>
      <c r="T5" s="1"/>
      <c r="U5" s="1"/>
      <c r="V5" s="1"/>
      <c r="W5" s="1"/>
      <c r="X5" s="1"/>
      <c r="Y5" s="1"/>
      <c r="Z5" s="1"/>
    </row>
    <row r="6" spans="1:26" ht="24" customHeight="1">
      <c r="A6" s="32"/>
      <c r="B6" s="36"/>
      <c r="C6" s="37"/>
      <c r="D6" s="37"/>
      <c r="E6" s="37"/>
      <c r="F6" s="37"/>
      <c r="G6" s="37"/>
      <c r="H6" s="37"/>
      <c r="I6" s="37"/>
      <c r="J6" s="38"/>
      <c r="K6" s="1"/>
      <c r="L6" s="1"/>
      <c r="M6" s="1"/>
      <c r="N6" s="1"/>
      <c r="O6" s="1"/>
      <c r="P6" s="1"/>
      <c r="Q6" s="1"/>
      <c r="R6" s="1"/>
      <c r="S6" s="1"/>
      <c r="T6" s="1"/>
      <c r="U6" s="1"/>
      <c r="V6" s="1"/>
      <c r="W6" s="1"/>
      <c r="X6" s="1"/>
      <c r="Y6" s="1"/>
      <c r="Z6" s="1"/>
    </row>
    <row r="7" spans="1:26" ht="24" customHeight="1">
      <c r="A7" s="32"/>
      <c r="B7" s="221" t="str">
        <f>CONCATENATE("Este formato aplica para la vigencia ", Vigencia)</f>
        <v>Este formato aplica para la vigencia 2026</v>
      </c>
      <c r="C7" s="184"/>
      <c r="D7" s="184"/>
      <c r="E7" s="184"/>
      <c r="F7" s="184"/>
      <c r="G7" s="184"/>
      <c r="H7" s="184"/>
      <c r="I7" s="185"/>
      <c r="J7" s="38"/>
      <c r="K7" s="1"/>
      <c r="L7" s="1"/>
      <c r="M7" s="1"/>
      <c r="N7" s="1"/>
      <c r="O7" s="1"/>
      <c r="P7" s="1"/>
      <c r="Q7" s="1"/>
      <c r="R7" s="1"/>
      <c r="S7" s="1"/>
      <c r="T7" s="1"/>
      <c r="U7" s="1"/>
      <c r="V7" s="1"/>
      <c r="W7" s="1"/>
      <c r="X7" s="1"/>
      <c r="Y7" s="1"/>
      <c r="Z7" s="1"/>
    </row>
    <row r="8" spans="1:26" ht="1.5" customHeight="1">
      <c r="A8" s="39"/>
      <c r="B8" s="40"/>
      <c r="C8" s="41"/>
      <c r="D8" s="41"/>
      <c r="E8" s="41"/>
      <c r="F8" s="41"/>
      <c r="G8" s="41"/>
      <c r="H8" s="41"/>
      <c r="I8" s="41"/>
      <c r="J8" s="42"/>
      <c r="K8" s="1"/>
      <c r="L8" s="1"/>
      <c r="M8" s="1"/>
      <c r="N8" s="1"/>
      <c r="O8" s="1"/>
      <c r="P8" s="1"/>
      <c r="Q8" s="1"/>
      <c r="R8" s="1"/>
      <c r="S8" s="1"/>
      <c r="T8" s="1"/>
      <c r="U8" s="1"/>
      <c r="V8" s="1"/>
      <c r="W8" s="1"/>
      <c r="X8" s="1"/>
      <c r="Y8" s="1"/>
      <c r="Z8" s="1"/>
    </row>
    <row r="9" spans="1:26" ht="19.5" customHeight="1">
      <c r="A9" s="39"/>
      <c r="B9" s="222" t="s">
        <v>66</v>
      </c>
      <c r="C9" s="223"/>
      <c r="D9" s="223"/>
      <c r="E9" s="223"/>
      <c r="F9" s="223"/>
      <c r="G9" s="223"/>
      <c r="H9" s="223"/>
      <c r="I9" s="224"/>
      <c r="J9" s="43"/>
      <c r="K9" s="1"/>
      <c r="L9" s="1"/>
      <c r="M9" s="1"/>
      <c r="N9" s="1"/>
      <c r="O9" s="1"/>
      <c r="P9" s="1"/>
      <c r="Q9" s="1"/>
      <c r="R9" s="1"/>
      <c r="S9" s="1"/>
      <c r="T9" s="1"/>
      <c r="U9" s="1"/>
      <c r="V9" s="1"/>
      <c r="W9" s="1"/>
      <c r="X9" s="1"/>
      <c r="Y9" s="1"/>
      <c r="Z9" s="1"/>
    </row>
    <row r="10" spans="1:26" ht="27" customHeight="1">
      <c r="A10" s="44"/>
      <c r="B10" s="225" t="s">
        <v>67</v>
      </c>
      <c r="C10" s="226"/>
      <c r="D10" s="226"/>
      <c r="E10" s="226"/>
      <c r="F10" s="226"/>
      <c r="G10" s="226"/>
      <c r="H10" s="226"/>
      <c r="I10" s="226"/>
      <c r="J10" s="45"/>
      <c r="K10" s="1"/>
      <c r="L10" s="1"/>
      <c r="M10" s="1"/>
      <c r="N10" s="1"/>
      <c r="O10" s="1"/>
      <c r="P10" s="1"/>
      <c r="Q10" s="1"/>
      <c r="R10" s="1"/>
      <c r="S10" s="1"/>
      <c r="T10" s="1"/>
      <c r="U10" s="1"/>
      <c r="V10" s="1"/>
      <c r="W10" s="1"/>
      <c r="X10" s="1"/>
      <c r="Y10" s="1"/>
      <c r="Z10" s="1"/>
    </row>
    <row r="11" spans="1:26" ht="70.5" customHeight="1">
      <c r="A11" s="46"/>
      <c r="B11" s="227" t="str">
        <f>CONCATENATE("Yo, ",D17,Datos!A22,)</f>
        <v>Yo,  identificado como aparece al pie de mi firma, declaro bajo gravedad de juramento, que pertenezco a la cédula de Rentas de Trabajo establecida en el artículo103 del Estatuto Tributario, y que la información suministrada es fidedigna y corresponde a los soportes que me permiten obtener las deducciones y rentas exentas para aplicar en los siguientes contratos de prestación de servicios suscritos con la Universidad Nacional de Colombia.</v>
      </c>
      <c r="C11" s="178"/>
      <c r="D11" s="178"/>
      <c r="E11" s="178"/>
      <c r="F11" s="178"/>
      <c r="G11" s="178"/>
      <c r="H11" s="178"/>
      <c r="I11" s="179"/>
      <c r="J11" s="47"/>
      <c r="K11" s="1"/>
      <c r="L11" s="1"/>
      <c r="M11" s="1"/>
      <c r="N11" s="1"/>
      <c r="O11" s="1"/>
      <c r="P11" s="1"/>
      <c r="Q11" s="1"/>
      <c r="R11" s="1"/>
      <c r="S11" s="1"/>
      <c r="T11" s="1"/>
      <c r="U11" s="1"/>
      <c r="V11" s="1"/>
      <c r="W11" s="1"/>
      <c r="X11" s="1"/>
      <c r="Y11" s="1"/>
      <c r="Z11" s="1"/>
    </row>
    <row r="12" spans="1:26" ht="6" customHeight="1">
      <c r="A12" s="46"/>
      <c r="B12" s="48"/>
      <c r="C12" s="48"/>
      <c r="D12" s="48"/>
      <c r="E12" s="48"/>
      <c r="F12" s="48"/>
      <c r="G12" s="48"/>
      <c r="H12" s="48"/>
      <c r="I12" s="48"/>
      <c r="J12" s="47"/>
      <c r="K12" s="1"/>
      <c r="L12" s="1"/>
      <c r="M12" s="1"/>
      <c r="N12" s="1"/>
      <c r="O12" s="1"/>
      <c r="P12" s="1"/>
      <c r="Q12" s="1"/>
      <c r="R12" s="1"/>
      <c r="S12" s="1"/>
      <c r="T12" s="1"/>
      <c r="U12" s="1"/>
      <c r="V12" s="1"/>
      <c r="W12" s="1"/>
      <c r="X12" s="1"/>
      <c r="Y12" s="1"/>
      <c r="Z12" s="1"/>
    </row>
    <row r="13" spans="1:26" ht="24" customHeight="1">
      <c r="A13" s="39"/>
      <c r="B13" s="228" t="s">
        <v>68</v>
      </c>
      <c r="C13" s="226"/>
      <c r="D13" s="226"/>
      <c r="E13" s="226"/>
      <c r="F13" s="226"/>
      <c r="G13" s="226"/>
      <c r="H13" s="226"/>
      <c r="I13" s="226"/>
      <c r="J13" s="49"/>
      <c r="K13" s="1"/>
      <c r="L13" s="1"/>
      <c r="M13" s="1"/>
      <c r="N13" s="1"/>
      <c r="O13" s="1"/>
      <c r="P13" s="1"/>
      <c r="Q13" s="1"/>
      <c r="R13" s="1"/>
      <c r="S13" s="1"/>
      <c r="T13" s="1"/>
      <c r="U13" s="1"/>
      <c r="V13" s="1"/>
      <c r="W13" s="1"/>
      <c r="X13" s="1"/>
      <c r="Y13" s="1"/>
      <c r="Z13" s="1"/>
    </row>
    <row r="14" spans="1:26" ht="3.75" customHeight="1">
      <c r="A14" s="50"/>
      <c r="B14" s="51"/>
      <c r="C14" s="51"/>
      <c r="D14" s="51"/>
      <c r="E14" s="51"/>
      <c r="F14" s="51"/>
      <c r="G14" s="51"/>
      <c r="H14" s="51"/>
      <c r="I14" s="51"/>
      <c r="J14" s="52"/>
    </row>
    <row r="15" spans="1:26" ht="25.5" customHeight="1">
      <c r="A15" s="50"/>
      <c r="B15" s="206" t="s">
        <v>6</v>
      </c>
      <c r="C15" s="207"/>
      <c r="D15" s="207"/>
      <c r="E15" s="207"/>
      <c r="F15" s="207"/>
      <c r="G15" s="207"/>
      <c r="H15" s="207"/>
      <c r="I15" s="208"/>
      <c r="J15" s="53"/>
    </row>
    <row r="16" spans="1:26" ht="2.25" customHeight="1">
      <c r="A16" s="54"/>
      <c r="B16" s="55"/>
      <c r="C16" s="55"/>
      <c r="D16" s="55"/>
      <c r="E16" s="55"/>
      <c r="F16" s="55"/>
      <c r="G16" s="55"/>
      <c r="H16" s="55"/>
      <c r="I16" s="55"/>
      <c r="J16" s="54"/>
      <c r="K16" s="1"/>
      <c r="L16" s="1"/>
      <c r="M16" s="1"/>
      <c r="N16" s="1"/>
      <c r="O16" s="1"/>
      <c r="P16" s="1"/>
      <c r="Q16" s="1"/>
      <c r="R16" s="1"/>
      <c r="S16" s="1"/>
      <c r="T16" s="1"/>
      <c r="U16" s="1"/>
      <c r="V16" s="1"/>
      <c r="W16" s="1"/>
      <c r="X16" s="1"/>
      <c r="Y16" s="1"/>
      <c r="Z16" s="1"/>
    </row>
    <row r="17" spans="1:26" ht="35.25" customHeight="1">
      <c r="A17" s="50"/>
      <c r="B17" s="219" t="s">
        <v>69</v>
      </c>
      <c r="C17" s="179"/>
      <c r="D17" s="218"/>
      <c r="E17" s="179"/>
      <c r="F17" s="1"/>
      <c r="G17" s="217" t="s">
        <v>13</v>
      </c>
      <c r="H17" s="179"/>
      <c r="I17" s="56"/>
      <c r="J17" s="57"/>
      <c r="K17" s="1"/>
      <c r="L17" s="1"/>
      <c r="M17" s="1"/>
      <c r="N17" s="1"/>
      <c r="O17" s="1"/>
      <c r="P17" s="1"/>
      <c r="Q17" s="1"/>
      <c r="R17" s="1"/>
      <c r="S17" s="1"/>
      <c r="T17" s="1"/>
      <c r="U17" s="1"/>
      <c r="V17" s="1"/>
      <c r="W17" s="1"/>
      <c r="X17" s="1"/>
      <c r="Y17" s="1"/>
      <c r="Z17" s="1"/>
    </row>
    <row r="18" spans="1:26" ht="31.5" customHeight="1">
      <c r="A18" s="58"/>
      <c r="B18" s="217" t="s">
        <v>9</v>
      </c>
      <c r="C18" s="179"/>
      <c r="D18" s="218"/>
      <c r="E18" s="179"/>
      <c r="F18" s="59"/>
      <c r="G18" s="217" t="s">
        <v>15</v>
      </c>
      <c r="H18" s="179"/>
      <c r="I18" s="56"/>
      <c r="J18" s="57"/>
    </row>
    <row r="19" spans="1:26" ht="24.75" customHeight="1">
      <c r="A19" s="60"/>
      <c r="B19" s="219" t="s">
        <v>11</v>
      </c>
      <c r="C19" s="179"/>
      <c r="D19" s="220"/>
      <c r="E19" s="179"/>
      <c r="F19" s="61"/>
      <c r="G19" s="59"/>
      <c r="H19" s="59"/>
      <c r="I19" s="59"/>
      <c r="J19" s="62"/>
    </row>
    <row r="20" spans="1:26" ht="11.25" customHeight="1">
      <c r="A20" s="32"/>
      <c r="B20" s="59"/>
      <c r="C20" s="59"/>
      <c r="D20" s="59"/>
      <c r="E20" s="59"/>
      <c r="F20" s="59"/>
      <c r="G20" s="59"/>
      <c r="H20" s="59"/>
      <c r="I20" s="59"/>
      <c r="J20" s="63"/>
    </row>
    <row r="21" spans="1:26" ht="27.75" customHeight="1">
      <c r="A21" s="32"/>
      <c r="B21" s="206" t="s">
        <v>71</v>
      </c>
      <c r="C21" s="207"/>
      <c r="D21" s="207"/>
      <c r="E21" s="207"/>
      <c r="F21" s="207"/>
      <c r="G21" s="207"/>
      <c r="H21" s="207"/>
      <c r="I21" s="208"/>
      <c r="J21" s="64"/>
    </row>
    <row r="22" spans="1:26" ht="69" customHeight="1">
      <c r="A22" s="65"/>
      <c r="B22" s="66" t="s">
        <v>72</v>
      </c>
      <c r="C22" s="67" t="s">
        <v>73</v>
      </c>
      <c r="D22" s="67" t="s">
        <v>74</v>
      </c>
      <c r="E22" s="67" t="s">
        <v>75</v>
      </c>
      <c r="F22" s="68" t="s">
        <v>76</v>
      </c>
      <c r="G22" s="67" t="s">
        <v>77</v>
      </c>
      <c r="H22" s="67" t="s">
        <v>78</v>
      </c>
      <c r="I22" s="67" t="s">
        <v>79</v>
      </c>
      <c r="J22" s="8"/>
    </row>
    <row r="23" spans="1:26" ht="28.5" customHeight="1">
      <c r="A23" s="69"/>
      <c r="B23" s="214"/>
      <c r="C23" s="70"/>
      <c r="D23" s="71"/>
      <c r="E23" s="71"/>
      <c r="F23" s="72"/>
      <c r="G23" s="73"/>
      <c r="H23" s="73"/>
      <c r="I23" s="74"/>
      <c r="J23" s="75"/>
    </row>
    <row r="24" spans="1:26" ht="28.5" customHeight="1">
      <c r="A24" s="69"/>
      <c r="B24" s="189"/>
      <c r="C24" s="70"/>
      <c r="D24" s="71"/>
      <c r="E24" s="71"/>
      <c r="F24" s="72"/>
      <c r="G24" s="73"/>
      <c r="H24" s="73"/>
      <c r="I24" s="74"/>
      <c r="J24" s="76"/>
    </row>
    <row r="25" spans="1:26" ht="28.5" customHeight="1">
      <c r="A25" s="69"/>
      <c r="B25" s="189"/>
      <c r="C25" s="70"/>
      <c r="D25" s="71"/>
      <c r="E25" s="71"/>
      <c r="F25" s="72"/>
      <c r="G25" s="73"/>
      <c r="H25" s="73"/>
      <c r="I25" s="74"/>
      <c r="J25" s="76"/>
    </row>
    <row r="26" spans="1:26" ht="28.5" customHeight="1">
      <c r="A26" s="69"/>
      <c r="B26" s="189"/>
      <c r="C26" s="70"/>
      <c r="D26" s="71"/>
      <c r="E26" s="71"/>
      <c r="F26" s="72"/>
      <c r="G26" s="73"/>
      <c r="H26" s="73"/>
      <c r="I26" s="74"/>
      <c r="J26" s="76"/>
    </row>
    <row r="27" spans="1:26" ht="28.5" customHeight="1">
      <c r="A27" s="69"/>
      <c r="B27" s="192"/>
      <c r="C27" s="70"/>
      <c r="D27" s="71"/>
      <c r="E27" s="71"/>
      <c r="F27" s="72"/>
      <c r="G27" s="73"/>
      <c r="H27" s="73"/>
      <c r="I27" s="74"/>
      <c r="J27" s="76"/>
    </row>
    <row r="28" spans="1:26" ht="25.5" customHeight="1">
      <c r="A28" s="65"/>
      <c r="B28" s="77" t="s">
        <v>81</v>
      </c>
      <c r="C28" s="78"/>
      <c r="D28" s="78"/>
      <c r="E28" s="78"/>
      <c r="F28" s="79">
        <f>SUM(F23:F27)</f>
        <v>0</v>
      </c>
      <c r="G28" s="215"/>
      <c r="H28" s="190"/>
      <c r="I28" s="190"/>
      <c r="J28" s="81"/>
    </row>
    <row r="29" spans="1:26" ht="7.5" customHeight="1">
      <c r="A29" s="65"/>
      <c r="B29" s="82"/>
      <c r="C29" s="83"/>
      <c r="D29" s="83"/>
      <c r="E29" s="84"/>
      <c r="F29" s="84"/>
      <c r="G29" s="80"/>
      <c r="H29" s="80"/>
      <c r="I29" s="80"/>
      <c r="J29" s="81"/>
    </row>
    <row r="30" spans="1:26" ht="31.5" customHeight="1">
      <c r="A30" s="65"/>
      <c r="B30" s="216" t="s">
        <v>82</v>
      </c>
      <c r="C30" s="190"/>
      <c r="D30" s="190"/>
      <c r="E30" s="190"/>
      <c r="F30" s="190"/>
      <c r="G30" s="190"/>
      <c r="H30" s="190"/>
      <c r="I30" s="190"/>
      <c r="J30" s="85"/>
    </row>
    <row r="31" spans="1:26" ht="31.5" customHeight="1">
      <c r="A31" s="86"/>
      <c r="B31" s="216" t="s">
        <v>83</v>
      </c>
      <c r="C31" s="190"/>
      <c r="D31" s="190"/>
      <c r="E31" s="190"/>
      <c r="F31" s="190"/>
      <c r="G31" s="190"/>
      <c r="H31" s="190"/>
      <c r="I31" s="190"/>
      <c r="J31" s="87"/>
      <c r="K31" s="22"/>
      <c r="L31" s="22"/>
      <c r="M31" s="22"/>
      <c r="N31" s="22"/>
      <c r="O31" s="22"/>
      <c r="P31" s="22"/>
      <c r="Q31" s="22"/>
      <c r="R31" s="22"/>
      <c r="S31" s="22"/>
      <c r="T31" s="22"/>
      <c r="U31" s="22"/>
      <c r="V31" s="22"/>
      <c r="W31" s="22"/>
      <c r="X31" s="22"/>
      <c r="Y31" s="22"/>
      <c r="Z31" s="22"/>
    </row>
    <row r="32" spans="1:26" ht="9.75" customHeight="1">
      <c r="A32" s="86"/>
      <c r="B32" s="88"/>
      <c r="C32" s="88"/>
      <c r="D32" s="88"/>
      <c r="E32" s="88"/>
      <c r="F32" s="88"/>
      <c r="G32" s="88"/>
      <c r="H32" s="88"/>
      <c r="I32" s="88"/>
      <c r="J32" s="89"/>
      <c r="K32" s="22"/>
      <c r="L32" s="22"/>
      <c r="M32" s="22"/>
      <c r="N32" s="22"/>
      <c r="O32" s="22"/>
      <c r="P32" s="22"/>
      <c r="Q32" s="22"/>
      <c r="R32" s="22"/>
      <c r="S32" s="22"/>
      <c r="T32" s="22"/>
      <c r="U32" s="22"/>
      <c r="V32" s="22"/>
      <c r="W32" s="22"/>
      <c r="X32" s="22"/>
      <c r="Y32" s="22"/>
      <c r="Z32" s="22"/>
    </row>
    <row r="33" spans="1:26" ht="30" customHeight="1">
      <c r="A33" s="32"/>
      <c r="B33" s="205" t="str">
        <f>+IF(B57=0,"",IF(B57&lt;(UVT*95),"Debido a que sus ingresos mensuales son inferiores a 95 UVT NO debe presentar los documentos descritos en la seccion 3. ANEXOS para soportes de deducciones.","Debido a que sus ingresos mensuales son superiores a 95 UVT puede presentar los documentos descritos en la seccion 3. ANEXOS para soportes de deducciones."))</f>
        <v/>
      </c>
      <c r="C33" s="178"/>
      <c r="D33" s="178"/>
      <c r="E33" s="178"/>
      <c r="F33" s="178"/>
      <c r="G33" s="178"/>
      <c r="H33" s="178"/>
      <c r="I33" s="179"/>
      <c r="J33" s="90"/>
    </row>
    <row r="34" spans="1:26" ht="9.75" customHeight="1">
      <c r="A34" s="32"/>
      <c r="B34" s="59"/>
      <c r="C34" s="91"/>
      <c r="D34" s="91"/>
      <c r="E34" s="91"/>
      <c r="F34" s="91"/>
      <c r="G34" s="91"/>
      <c r="H34" s="91"/>
      <c r="I34" s="91"/>
      <c r="J34" s="90"/>
    </row>
    <row r="35" spans="1:26" ht="41.25" customHeight="1">
      <c r="A35" s="59"/>
      <c r="B35" s="206" t="s">
        <v>32</v>
      </c>
      <c r="C35" s="207"/>
      <c r="D35" s="207"/>
      <c r="E35" s="208"/>
      <c r="F35" s="55"/>
      <c r="G35" s="209" t="s">
        <v>54</v>
      </c>
      <c r="H35" s="210"/>
      <c r="I35" s="211"/>
      <c r="J35" s="90"/>
    </row>
    <row r="36" spans="1:26" ht="31.5" customHeight="1">
      <c r="A36" s="32"/>
      <c r="B36" s="212" t="s">
        <v>34</v>
      </c>
      <c r="C36" s="179"/>
      <c r="D36" s="180"/>
      <c r="E36" s="179"/>
      <c r="F36" s="59"/>
      <c r="G36" s="181" t="s">
        <v>84</v>
      </c>
      <c r="H36" s="179"/>
      <c r="I36" s="92">
        <f>+Datos!F16</f>
        <v>0</v>
      </c>
      <c r="J36" s="90"/>
    </row>
    <row r="37" spans="1:26" ht="31.5" customHeight="1">
      <c r="A37" s="32"/>
      <c r="B37" s="93" t="s">
        <v>36</v>
      </c>
      <c r="C37" s="94" t="s">
        <v>70</v>
      </c>
      <c r="D37" s="93" t="s">
        <v>42</v>
      </c>
      <c r="E37" s="95" t="s">
        <v>70</v>
      </c>
      <c r="F37" s="59"/>
      <c r="G37" s="181" t="s">
        <v>85</v>
      </c>
      <c r="H37" s="179"/>
      <c r="I37" s="92">
        <f>Datos!G16</f>
        <v>0</v>
      </c>
      <c r="J37" s="90"/>
    </row>
    <row r="38" spans="1:26" ht="56.25" customHeight="1">
      <c r="A38" s="32"/>
      <c r="B38" s="93" t="s">
        <v>38</v>
      </c>
      <c r="C38" s="94" t="s">
        <v>70</v>
      </c>
      <c r="D38" s="93" t="s">
        <v>44</v>
      </c>
      <c r="E38" s="94" t="s">
        <v>70</v>
      </c>
      <c r="F38" s="59"/>
      <c r="G38" s="181" t="s">
        <v>86</v>
      </c>
      <c r="H38" s="179"/>
      <c r="I38" s="92">
        <f>Datos!H16</f>
        <v>0</v>
      </c>
      <c r="J38" s="90"/>
    </row>
    <row r="39" spans="1:26" ht="15.75" customHeight="1">
      <c r="A39" s="32"/>
      <c r="B39" s="93" t="s">
        <v>40</v>
      </c>
      <c r="C39" s="94" t="s">
        <v>70</v>
      </c>
      <c r="D39" s="93" t="s">
        <v>87</v>
      </c>
      <c r="E39" s="94" t="s">
        <v>70</v>
      </c>
      <c r="F39" s="96"/>
      <c r="G39" s="181" t="s">
        <v>88</v>
      </c>
      <c r="H39" s="179"/>
      <c r="I39" s="92">
        <f>Datos!J16</f>
        <v>0</v>
      </c>
      <c r="J39" s="90"/>
    </row>
    <row r="40" spans="1:26" ht="21" customHeight="1">
      <c r="A40" s="32"/>
      <c r="B40" s="1"/>
      <c r="C40" s="1"/>
      <c r="D40" s="1"/>
      <c r="E40" s="1"/>
      <c r="F40" s="96"/>
      <c r="G40" s="182" t="s">
        <v>89</v>
      </c>
      <c r="H40" s="179"/>
      <c r="I40" s="97">
        <f>+SUM(I36:I39)</f>
        <v>0</v>
      </c>
      <c r="J40" s="90"/>
      <c r="K40" s="1"/>
      <c r="L40" s="1"/>
      <c r="M40" s="1"/>
      <c r="N40" s="1"/>
      <c r="O40" s="1"/>
      <c r="P40" s="1"/>
      <c r="Q40" s="1"/>
      <c r="R40" s="1"/>
      <c r="S40" s="1"/>
      <c r="T40" s="1"/>
      <c r="U40" s="1"/>
      <c r="V40" s="1"/>
      <c r="W40" s="1"/>
      <c r="X40" s="1"/>
      <c r="Y40" s="1"/>
      <c r="Z40" s="1"/>
    </row>
    <row r="41" spans="1:26" ht="21.75" customHeight="1">
      <c r="A41" s="32"/>
      <c r="B41" s="93" t="s">
        <v>48</v>
      </c>
      <c r="C41" s="98"/>
      <c r="D41" s="99"/>
      <c r="E41" s="99"/>
      <c r="F41" s="96"/>
      <c r="G41" s="99"/>
      <c r="H41" s="99"/>
      <c r="I41" s="99"/>
      <c r="J41" s="38"/>
      <c r="K41" s="99"/>
      <c r="L41" s="99"/>
      <c r="M41" s="99"/>
      <c r="N41" s="99"/>
      <c r="O41" s="99"/>
      <c r="P41" s="99"/>
      <c r="Q41" s="99"/>
      <c r="R41" s="99"/>
      <c r="S41" s="99"/>
      <c r="T41" s="99"/>
      <c r="U41" s="99"/>
      <c r="V41" s="99"/>
      <c r="W41" s="99"/>
      <c r="X41" s="99"/>
      <c r="Y41" s="99"/>
      <c r="Z41" s="99"/>
    </row>
    <row r="42" spans="1:26" ht="21.75" customHeight="1">
      <c r="A42" s="32"/>
      <c r="B42" s="93" t="s">
        <v>50</v>
      </c>
      <c r="C42" s="98"/>
      <c r="D42" s="36"/>
      <c r="E42" s="36"/>
      <c r="F42" s="100"/>
      <c r="G42" s="99"/>
      <c r="H42" s="99"/>
      <c r="I42" s="99"/>
      <c r="J42" s="38"/>
      <c r="K42" s="99"/>
      <c r="L42" s="99"/>
      <c r="M42" s="99"/>
      <c r="N42" s="99"/>
      <c r="O42" s="99"/>
      <c r="P42" s="99"/>
      <c r="Q42" s="99"/>
      <c r="R42" s="99"/>
      <c r="S42" s="99"/>
      <c r="T42" s="99"/>
      <c r="U42" s="99"/>
      <c r="V42" s="99"/>
      <c r="W42" s="99"/>
      <c r="X42" s="99"/>
      <c r="Y42" s="99"/>
      <c r="Z42" s="99"/>
    </row>
    <row r="43" spans="1:26" ht="9.75" customHeight="1">
      <c r="A43" s="32"/>
      <c r="B43" s="101"/>
      <c r="C43" s="102"/>
      <c r="D43" s="36"/>
      <c r="E43" s="36"/>
      <c r="F43" s="100"/>
      <c r="G43" s="99"/>
      <c r="H43" s="99"/>
      <c r="I43" s="99"/>
      <c r="J43" s="38"/>
      <c r="K43" s="99"/>
      <c r="L43" s="99"/>
      <c r="M43" s="99"/>
      <c r="N43" s="99"/>
      <c r="O43" s="99"/>
      <c r="P43" s="99"/>
      <c r="Q43" s="99"/>
      <c r="R43" s="99"/>
      <c r="S43" s="99"/>
      <c r="T43" s="99"/>
      <c r="U43" s="99"/>
      <c r="V43" s="99"/>
      <c r="W43" s="99"/>
      <c r="X43" s="99"/>
      <c r="Y43" s="99"/>
      <c r="Z43" s="99"/>
    </row>
    <row r="44" spans="1:26" ht="22.5" customHeight="1">
      <c r="A44" s="32"/>
      <c r="B44" s="213" t="s">
        <v>90</v>
      </c>
      <c r="C44" s="210"/>
      <c r="D44" s="210"/>
      <c r="E44" s="211"/>
      <c r="F44" s="103"/>
      <c r="G44" s="183" t="s">
        <v>60</v>
      </c>
      <c r="H44" s="184"/>
      <c r="I44" s="185"/>
      <c r="J44" s="38"/>
      <c r="K44" s="99"/>
      <c r="L44" s="99"/>
      <c r="M44" s="99"/>
      <c r="N44" s="99"/>
      <c r="O44" s="99"/>
      <c r="P44" s="99"/>
      <c r="Q44" s="99"/>
      <c r="R44" s="99"/>
      <c r="S44" s="99"/>
      <c r="T44" s="99"/>
      <c r="U44" s="99"/>
      <c r="V44" s="99"/>
      <c r="W44" s="99"/>
      <c r="X44" s="99"/>
      <c r="Y44" s="99"/>
      <c r="Z44" s="99"/>
    </row>
    <row r="45" spans="1:26" ht="46.5" customHeight="1">
      <c r="A45" s="32"/>
      <c r="B45" s="186" t="s">
        <v>91</v>
      </c>
      <c r="C45" s="187"/>
      <c r="D45" s="188"/>
      <c r="E45" s="195"/>
      <c r="F45" s="104"/>
      <c r="G45" s="201"/>
      <c r="H45" s="190"/>
      <c r="I45" s="190"/>
      <c r="J45" s="38"/>
      <c r="K45" s="99"/>
      <c r="L45" s="99"/>
      <c r="M45" s="99"/>
      <c r="N45" s="99"/>
      <c r="O45" s="99"/>
      <c r="P45" s="99"/>
      <c r="Q45" s="99"/>
      <c r="R45" s="99"/>
      <c r="S45" s="99"/>
      <c r="T45" s="99"/>
      <c r="U45" s="99"/>
      <c r="V45" s="99"/>
      <c r="W45" s="99"/>
      <c r="X45" s="99"/>
      <c r="Y45" s="99"/>
      <c r="Z45" s="99"/>
    </row>
    <row r="46" spans="1:26" ht="28.5" customHeight="1">
      <c r="A46" s="32"/>
      <c r="B46" s="189"/>
      <c r="C46" s="190"/>
      <c r="D46" s="191"/>
      <c r="E46" s="196"/>
      <c r="F46" s="104"/>
      <c r="G46" s="202"/>
      <c r="H46" s="202"/>
      <c r="I46" s="202"/>
      <c r="J46" s="38"/>
      <c r="K46" s="99"/>
      <c r="L46" s="99"/>
      <c r="M46" s="99"/>
      <c r="N46" s="99"/>
      <c r="O46" s="99"/>
      <c r="P46" s="99"/>
      <c r="Q46" s="99"/>
      <c r="R46" s="99"/>
      <c r="S46" s="99"/>
      <c r="T46" s="99"/>
      <c r="U46" s="99"/>
      <c r="V46" s="99"/>
      <c r="W46" s="99"/>
      <c r="X46" s="99"/>
      <c r="Y46" s="99"/>
      <c r="Z46" s="99"/>
    </row>
    <row r="47" spans="1:26" ht="21.75" customHeight="1">
      <c r="A47" s="32"/>
      <c r="B47" s="189"/>
      <c r="C47" s="190"/>
      <c r="D47" s="191"/>
      <c r="E47" s="196"/>
      <c r="F47" s="104"/>
      <c r="G47" s="105" t="s">
        <v>93</v>
      </c>
      <c r="H47" s="203" t="str">
        <f t="shared" ref="H47:H48" si="0">IF(D17="","",D17)</f>
        <v/>
      </c>
      <c r="I47" s="185"/>
      <c r="J47" s="38"/>
      <c r="K47" s="99"/>
      <c r="L47" s="99"/>
      <c r="M47" s="99"/>
      <c r="N47" s="99"/>
      <c r="O47" s="99"/>
      <c r="P47" s="99"/>
      <c r="Q47" s="99"/>
      <c r="R47" s="99"/>
      <c r="S47" s="99"/>
      <c r="T47" s="99"/>
      <c r="U47" s="99"/>
      <c r="V47" s="99"/>
      <c r="W47" s="99"/>
      <c r="X47" s="99"/>
      <c r="Y47" s="99"/>
      <c r="Z47" s="99"/>
    </row>
    <row r="48" spans="1:26" ht="54" customHeight="1">
      <c r="A48" s="32"/>
      <c r="B48" s="192"/>
      <c r="C48" s="193"/>
      <c r="D48" s="194"/>
      <c r="E48" s="197"/>
      <c r="F48" s="104"/>
      <c r="G48" s="106" t="s">
        <v>94</v>
      </c>
      <c r="H48" s="203" t="str">
        <f t="shared" si="0"/>
        <v/>
      </c>
      <c r="I48" s="185"/>
      <c r="J48" s="90"/>
      <c r="K48" s="1"/>
      <c r="L48" s="1"/>
      <c r="M48" s="1"/>
      <c r="N48" s="1"/>
      <c r="O48" s="1"/>
      <c r="P48" s="1"/>
      <c r="Q48" s="1"/>
      <c r="R48" s="1"/>
      <c r="S48" s="1"/>
      <c r="T48" s="1"/>
      <c r="U48" s="1"/>
      <c r="V48" s="1"/>
      <c r="W48" s="1"/>
      <c r="X48" s="1"/>
      <c r="Y48" s="1"/>
      <c r="Z48" s="1"/>
    </row>
    <row r="49" spans="1:26" ht="12" customHeight="1">
      <c r="A49" s="32"/>
      <c r="B49" s="107"/>
      <c r="C49" s="91"/>
      <c r="D49" s="91"/>
      <c r="E49" s="91"/>
      <c r="F49" s="91"/>
      <c r="G49" s="91"/>
      <c r="H49" s="108"/>
      <c r="I49" s="108"/>
      <c r="J49" s="90"/>
    </row>
    <row r="50" spans="1:26" ht="27.75" customHeight="1">
      <c r="A50" s="32"/>
      <c r="B50" s="198" t="s">
        <v>56</v>
      </c>
      <c r="C50" s="199"/>
      <c r="D50" s="200"/>
      <c r="E50" s="59"/>
      <c r="F50" s="204" t="s">
        <v>58</v>
      </c>
      <c r="G50" s="178"/>
      <c r="H50" s="178"/>
      <c r="I50" s="179"/>
      <c r="J50" s="8"/>
    </row>
    <row r="51" spans="1:26" ht="62.25" customHeight="1">
      <c r="A51" s="32"/>
      <c r="B51" s="109" t="s">
        <v>95</v>
      </c>
      <c r="C51" s="109" t="s">
        <v>96</v>
      </c>
      <c r="D51" s="109" t="s">
        <v>97</v>
      </c>
      <c r="E51" s="59"/>
      <c r="F51" s="109" t="s">
        <v>98</v>
      </c>
      <c r="G51" s="109" t="s">
        <v>99</v>
      </c>
      <c r="H51" s="109" t="s">
        <v>100</v>
      </c>
      <c r="I51" s="109" t="s">
        <v>101</v>
      </c>
      <c r="J51" s="8"/>
    </row>
    <row r="52" spans="1:26" ht="19.5" customHeight="1">
      <c r="A52" s="32"/>
      <c r="B52" s="110">
        <f t="shared" ref="B52:B56" si="1">+IF(C52=0,0,F23/C52)</f>
        <v>0</v>
      </c>
      <c r="C52" s="111">
        <f t="shared" ref="C52:C56" si="2">+IF(OR(G23="",H23=""),0,((YEAR(H23)-YEAR(G23))*12)+MONTH(H23)-MONTH(G23)+1)</f>
        <v>0</v>
      </c>
      <c r="D52" s="110">
        <f>+B52*Porcentaje_IBC</f>
        <v>0</v>
      </c>
      <c r="E52" s="59"/>
      <c r="F52" s="110">
        <f>IFERROR(+D52/SUM(Datos!$D$11:$D$15)*I$36,0)</f>
        <v>0</v>
      </c>
      <c r="G52" s="110">
        <f>IFERROR(+D52/SUM(Datos!$D$11:$D$15)*$I$37,0)</f>
        <v>0</v>
      </c>
      <c r="H52" s="110">
        <f>IFERROR(D52/SUM(Datos!$D$11:$D$15)*$I$38,0)</f>
        <v>0</v>
      </c>
      <c r="I52" s="112">
        <f t="shared" ref="I52:I56" si="3">IF($E$45="  SI  ",B52-F52-G52-H52,B52)</f>
        <v>0</v>
      </c>
      <c r="J52" s="38"/>
    </row>
    <row r="53" spans="1:26" ht="19.5" customHeight="1">
      <c r="A53" s="32"/>
      <c r="B53" s="110">
        <f t="shared" si="1"/>
        <v>0</v>
      </c>
      <c r="C53" s="111">
        <f t="shared" si="2"/>
        <v>0</v>
      </c>
      <c r="D53" s="110">
        <f>+B53*Porcentaje_IBC</f>
        <v>0</v>
      </c>
      <c r="E53" s="59"/>
      <c r="F53" s="110">
        <f>IFERROR(+D53/SUM(Datos!$D$11:$D$15)*I$36,0)</f>
        <v>0</v>
      </c>
      <c r="G53" s="110">
        <f>IFERROR(+D53/SUM(Datos!$D$11:$D$15)*$I$37,0)</f>
        <v>0</v>
      </c>
      <c r="H53" s="110">
        <f>IFERROR(D53/SUM(Datos!$D$11:$D$15)*$I$38,0)</f>
        <v>0</v>
      </c>
      <c r="I53" s="112">
        <f t="shared" si="3"/>
        <v>0</v>
      </c>
      <c r="J53" s="38"/>
    </row>
    <row r="54" spans="1:26" ht="19.5" customHeight="1">
      <c r="A54" s="32"/>
      <c r="B54" s="110">
        <f t="shared" si="1"/>
        <v>0</v>
      </c>
      <c r="C54" s="111">
        <f t="shared" si="2"/>
        <v>0</v>
      </c>
      <c r="D54" s="110">
        <f>+B54*Porcentaje_IBC</f>
        <v>0</v>
      </c>
      <c r="E54" s="59"/>
      <c r="F54" s="110">
        <f>IFERROR(+D54/SUM(Datos!$D$11:$D$15)*I$36,0)</f>
        <v>0</v>
      </c>
      <c r="G54" s="110">
        <f>IFERROR(+D54/SUM(Datos!$D$11:$D$15)*$I$37,0)</f>
        <v>0</v>
      </c>
      <c r="H54" s="110">
        <f>IFERROR(D54/SUM(Datos!$D$11:$D$15)*$I$38,0)</f>
        <v>0</v>
      </c>
      <c r="I54" s="112">
        <f t="shared" si="3"/>
        <v>0</v>
      </c>
      <c r="J54" s="38"/>
    </row>
    <row r="55" spans="1:26" ht="19.5" customHeight="1">
      <c r="A55" s="32"/>
      <c r="B55" s="110">
        <f t="shared" si="1"/>
        <v>0</v>
      </c>
      <c r="C55" s="111">
        <f t="shared" si="2"/>
        <v>0</v>
      </c>
      <c r="D55" s="110">
        <f>+B55*Porcentaje_IBC</f>
        <v>0</v>
      </c>
      <c r="E55" s="59"/>
      <c r="F55" s="110">
        <f>IFERROR(+D55/SUM(Datos!$D$11:$D$15)*I$36,0)</f>
        <v>0</v>
      </c>
      <c r="G55" s="110">
        <f>IFERROR(+D55/SUM(Datos!$D$11:$D$15)*$I$37,0)</f>
        <v>0</v>
      </c>
      <c r="H55" s="110">
        <f>IFERROR(D55/SUM(Datos!$D$11:$D$15)*$I$38,0)</f>
        <v>0</v>
      </c>
      <c r="I55" s="112">
        <f t="shared" si="3"/>
        <v>0</v>
      </c>
      <c r="J55" s="38"/>
    </row>
    <row r="56" spans="1:26" ht="19.5" customHeight="1">
      <c r="A56" s="32"/>
      <c r="B56" s="110">
        <f t="shared" si="1"/>
        <v>0</v>
      </c>
      <c r="C56" s="111">
        <f t="shared" si="2"/>
        <v>0</v>
      </c>
      <c r="D56" s="110">
        <f>+B56*Porcentaje_IBC</f>
        <v>0</v>
      </c>
      <c r="E56" s="59"/>
      <c r="F56" s="110">
        <f>IFERROR(+D56/SUM(Datos!$D$11:$D$15)*I$36,0)</f>
        <v>0</v>
      </c>
      <c r="G56" s="110">
        <f>IFERROR(+D56/SUM(Datos!$D$11:$D$15)*$I$37,0)</f>
        <v>0</v>
      </c>
      <c r="H56" s="110">
        <f>IFERROR(D56/SUM(Datos!$D$11:$D$15)*$I$38,0)</f>
        <v>0</v>
      </c>
      <c r="I56" s="112">
        <f t="shared" si="3"/>
        <v>0</v>
      </c>
      <c r="J56" s="38"/>
    </row>
    <row r="57" spans="1:26" ht="19.5" customHeight="1">
      <c r="A57" s="58"/>
      <c r="B57" s="113">
        <f>SUM(B52:B56)</f>
        <v>0</v>
      </c>
      <c r="C57" s="114"/>
      <c r="D57" s="113">
        <f>IF(SUM(D52:D56)=0,0,Datos!D16)</f>
        <v>0</v>
      </c>
      <c r="E57" s="115"/>
      <c r="F57" s="116"/>
      <c r="G57" s="116"/>
      <c r="H57" s="116"/>
      <c r="I57" s="117">
        <f>SUM(I52:I56)</f>
        <v>0</v>
      </c>
      <c r="J57" s="118"/>
      <c r="K57" s="119"/>
      <c r="L57" s="119"/>
      <c r="M57" s="119"/>
      <c r="N57" s="119"/>
      <c r="O57" s="119"/>
      <c r="P57" s="119"/>
      <c r="Q57" s="119"/>
      <c r="R57" s="119"/>
      <c r="S57" s="119"/>
      <c r="T57" s="119"/>
      <c r="U57" s="119"/>
      <c r="V57" s="119"/>
      <c r="W57" s="119"/>
      <c r="X57" s="119"/>
      <c r="Y57" s="119"/>
      <c r="Z57" s="119"/>
    </row>
    <row r="58" spans="1:26" ht="9" customHeight="1">
      <c r="A58" s="32"/>
      <c r="B58" s="100"/>
      <c r="C58" s="120"/>
      <c r="D58" s="121"/>
      <c r="E58" s="121"/>
      <c r="F58" s="121"/>
      <c r="G58" s="121"/>
      <c r="H58" s="121"/>
      <c r="I58" s="121"/>
      <c r="J58" s="38"/>
    </row>
    <row r="59" spans="1:26" ht="57" customHeight="1">
      <c r="A59" s="32"/>
      <c r="B59" s="177" t="s">
        <v>102</v>
      </c>
      <c r="C59" s="178"/>
      <c r="D59" s="178"/>
      <c r="E59" s="178"/>
      <c r="F59" s="178"/>
      <c r="G59" s="178"/>
      <c r="H59" s="178"/>
      <c r="I59" s="179"/>
      <c r="J59" s="38"/>
    </row>
    <row r="60" spans="1:26" ht="26.25" customHeight="1">
      <c r="A60" s="122"/>
      <c r="B60" s="123" t="s">
        <v>103</v>
      </c>
      <c r="C60" s="124"/>
      <c r="D60" s="123"/>
      <c r="E60" s="123" t="s">
        <v>104</v>
      </c>
      <c r="F60" s="123"/>
      <c r="G60" s="123"/>
      <c r="H60" s="125"/>
      <c r="I60" s="123" t="s">
        <v>105</v>
      </c>
      <c r="J60" s="126"/>
    </row>
    <row r="61" spans="1:26" ht="15.75" customHeight="1">
      <c r="A61" s="59"/>
      <c r="B61" s="59"/>
      <c r="C61" s="59"/>
      <c r="D61" s="59"/>
      <c r="E61" s="59"/>
      <c r="F61" s="59"/>
      <c r="G61" s="59"/>
      <c r="H61" s="59"/>
      <c r="I61" s="59"/>
      <c r="J61" s="59"/>
    </row>
    <row r="62" spans="1:26" ht="15.75" customHeight="1">
      <c r="A62" s="59"/>
      <c r="B62" s="59"/>
      <c r="C62" s="59"/>
      <c r="D62" s="59"/>
      <c r="E62" s="59"/>
      <c r="F62" s="59"/>
      <c r="G62" s="59"/>
      <c r="H62" s="59"/>
      <c r="I62" s="59"/>
      <c r="J62" s="59"/>
    </row>
    <row r="63" spans="1:26" ht="15.75" customHeight="1">
      <c r="A63" s="59"/>
      <c r="B63" s="59"/>
      <c r="C63" s="59"/>
      <c r="D63" s="59"/>
      <c r="E63" s="59"/>
      <c r="F63" s="59"/>
      <c r="G63" s="59"/>
      <c r="H63" s="59"/>
      <c r="I63" s="59"/>
      <c r="J63" s="59"/>
    </row>
    <row r="64" spans="1:26" ht="15.75" customHeight="1">
      <c r="A64" s="59"/>
      <c r="B64" s="59"/>
      <c r="C64" s="59"/>
      <c r="D64" s="59"/>
      <c r="E64" s="59"/>
      <c r="F64" s="59"/>
      <c r="G64" s="59"/>
      <c r="H64" s="59"/>
      <c r="I64" s="59"/>
      <c r="J64" s="59"/>
    </row>
    <row r="65" spans="1:10" ht="15.75" customHeight="1">
      <c r="A65" s="59"/>
      <c r="B65" s="59"/>
      <c r="C65" s="59"/>
      <c r="D65" s="59"/>
      <c r="E65" s="59"/>
      <c r="F65" s="59"/>
      <c r="G65" s="59"/>
      <c r="H65" s="59"/>
      <c r="I65" s="59"/>
      <c r="J65" s="59"/>
    </row>
    <row r="66" spans="1:10" ht="15.75" customHeight="1">
      <c r="A66" s="59"/>
      <c r="B66" s="59"/>
      <c r="C66" s="59"/>
      <c r="D66" s="59"/>
      <c r="E66" s="59"/>
      <c r="F66" s="59"/>
      <c r="G66" s="59"/>
      <c r="H66" s="59"/>
      <c r="I66" s="59"/>
      <c r="J66" s="59"/>
    </row>
    <row r="67" spans="1:10" ht="15.75" customHeight="1">
      <c r="A67" s="59"/>
      <c r="B67" s="59"/>
      <c r="C67" s="59"/>
      <c r="D67" s="59"/>
      <c r="E67" s="59"/>
      <c r="F67" s="59"/>
      <c r="G67" s="59"/>
      <c r="H67" s="59"/>
      <c r="I67" s="59"/>
      <c r="J67" s="59"/>
    </row>
    <row r="68" spans="1:10" ht="15.75" customHeight="1">
      <c r="A68" s="59"/>
      <c r="B68" s="59"/>
      <c r="C68" s="59"/>
      <c r="D68" s="59"/>
      <c r="E68" s="59"/>
      <c r="F68" s="59"/>
      <c r="G68" s="59"/>
      <c r="H68" s="59"/>
      <c r="I68" s="59"/>
      <c r="J68" s="59"/>
    </row>
    <row r="69" spans="1:10" ht="15.75" customHeight="1">
      <c r="A69" s="59"/>
      <c r="B69" s="59"/>
      <c r="C69" s="59"/>
      <c r="D69" s="59"/>
      <c r="E69" s="59"/>
      <c r="F69" s="59"/>
      <c r="G69" s="59"/>
      <c r="H69" s="59"/>
      <c r="I69" s="59"/>
      <c r="J69" s="59"/>
    </row>
    <row r="70" spans="1:10" ht="15.75" customHeight="1">
      <c r="A70" s="59"/>
      <c r="B70" s="59"/>
      <c r="C70" s="59"/>
      <c r="D70" s="59"/>
      <c r="E70" s="59"/>
      <c r="F70" s="59"/>
      <c r="G70" s="59"/>
      <c r="H70" s="59"/>
      <c r="I70" s="59"/>
      <c r="J70" s="59"/>
    </row>
    <row r="71" spans="1:10" ht="15.75" customHeight="1">
      <c r="A71" s="59"/>
      <c r="B71" s="59"/>
      <c r="C71" s="59"/>
      <c r="D71" s="59"/>
      <c r="E71" s="59"/>
      <c r="F71" s="59"/>
      <c r="G71" s="59"/>
      <c r="H71" s="59"/>
      <c r="I71" s="59"/>
      <c r="J71" s="59"/>
    </row>
    <row r="72" spans="1:10" ht="15.75" customHeight="1">
      <c r="A72" s="59"/>
      <c r="B72" s="59"/>
      <c r="C72" s="59"/>
      <c r="D72" s="59"/>
      <c r="E72" s="59"/>
      <c r="F72" s="59"/>
      <c r="G72" s="59"/>
      <c r="H72" s="59"/>
      <c r="I72" s="59"/>
      <c r="J72" s="59"/>
    </row>
    <row r="73" spans="1:10" ht="15.75" customHeight="1">
      <c r="A73" s="59"/>
      <c r="B73" s="59"/>
      <c r="C73" s="59"/>
      <c r="D73" s="59"/>
      <c r="E73" s="59"/>
      <c r="F73" s="59"/>
      <c r="G73" s="59"/>
      <c r="H73" s="59"/>
      <c r="I73" s="59"/>
      <c r="J73" s="59"/>
    </row>
    <row r="74" spans="1:10" ht="15.75" customHeight="1">
      <c r="A74" s="59"/>
      <c r="B74" s="59"/>
      <c r="C74" s="59"/>
      <c r="D74" s="59"/>
      <c r="E74" s="59"/>
      <c r="F74" s="59"/>
      <c r="G74" s="59"/>
      <c r="H74" s="59"/>
      <c r="I74" s="59"/>
      <c r="J74" s="59"/>
    </row>
    <row r="75" spans="1:10" ht="15.75" customHeight="1">
      <c r="A75" s="59"/>
      <c r="B75" s="59"/>
      <c r="C75" s="59"/>
      <c r="D75" s="59"/>
      <c r="E75" s="59"/>
      <c r="F75" s="59"/>
      <c r="G75" s="59"/>
      <c r="H75" s="59"/>
      <c r="I75" s="59"/>
      <c r="J75" s="59"/>
    </row>
    <row r="76" spans="1:10" ht="15.75" customHeight="1">
      <c r="A76" s="59"/>
      <c r="B76" s="59"/>
      <c r="C76" s="59"/>
      <c r="D76" s="59"/>
      <c r="E76" s="59"/>
      <c r="F76" s="59"/>
      <c r="G76" s="59"/>
      <c r="H76" s="59"/>
      <c r="I76" s="59"/>
      <c r="J76" s="59"/>
    </row>
    <row r="77" spans="1:10" ht="15.75" customHeight="1">
      <c r="A77" s="59"/>
      <c r="B77" s="59"/>
      <c r="C77" s="59"/>
      <c r="D77" s="59"/>
      <c r="E77" s="59"/>
      <c r="F77" s="59"/>
      <c r="G77" s="59"/>
      <c r="H77" s="59"/>
      <c r="I77" s="59"/>
      <c r="J77" s="59"/>
    </row>
    <row r="78" spans="1:10" ht="15.75" customHeight="1">
      <c r="A78" s="59"/>
      <c r="B78" s="59"/>
      <c r="C78" s="59"/>
      <c r="D78" s="59"/>
      <c r="E78" s="59"/>
      <c r="F78" s="59"/>
      <c r="G78" s="59"/>
      <c r="H78" s="59"/>
      <c r="I78" s="59"/>
      <c r="J78" s="59"/>
    </row>
    <row r="79" spans="1:10" ht="15.75" customHeight="1">
      <c r="A79" s="59"/>
      <c r="B79" s="59"/>
      <c r="C79" s="59"/>
      <c r="D79" s="59"/>
      <c r="E79" s="59"/>
      <c r="F79" s="59"/>
      <c r="G79" s="59"/>
      <c r="H79" s="59"/>
      <c r="I79" s="59"/>
      <c r="J79" s="59"/>
    </row>
    <row r="80" spans="1:10" ht="15.75" customHeight="1">
      <c r="A80" s="59"/>
      <c r="B80" s="59"/>
      <c r="C80" s="59"/>
      <c r="D80" s="59"/>
      <c r="E80" s="59"/>
      <c r="F80" s="59"/>
      <c r="G80" s="59"/>
      <c r="H80" s="59"/>
      <c r="I80" s="59"/>
      <c r="J80" s="59"/>
    </row>
    <row r="81" spans="1:10" ht="15.75" customHeight="1">
      <c r="A81" s="59"/>
      <c r="B81" s="59"/>
      <c r="C81" s="59"/>
      <c r="D81" s="59"/>
      <c r="E81" s="59"/>
      <c r="F81" s="59"/>
      <c r="G81" s="59"/>
      <c r="H81" s="59"/>
      <c r="I81" s="59"/>
      <c r="J81" s="59"/>
    </row>
    <row r="82" spans="1:10" ht="15.75" customHeight="1">
      <c r="A82" s="59"/>
      <c r="B82" s="59"/>
      <c r="C82" s="59"/>
      <c r="D82" s="59"/>
      <c r="E82" s="59"/>
      <c r="F82" s="59"/>
      <c r="G82" s="59"/>
      <c r="H82" s="59"/>
      <c r="I82" s="59"/>
      <c r="J82" s="59"/>
    </row>
    <row r="83" spans="1:10" ht="15.75" customHeight="1">
      <c r="A83" s="59"/>
      <c r="B83" s="59"/>
      <c r="C83" s="59"/>
      <c r="D83" s="59"/>
      <c r="E83" s="59"/>
      <c r="F83" s="59"/>
      <c r="G83" s="59"/>
      <c r="H83" s="59"/>
      <c r="I83" s="59"/>
      <c r="J83" s="59"/>
    </row>
    <row r="84" spans="1:10" ht="15.75" customHeight="1">
      <c r="A84" s="59"/>
      <c r="B84" s="59"/>
      <c r="C84" s="59"/>
      <c r="D84" s="59"/>
      <c r="E84" s="59"/>
      <c r="F84" s="59"/>
      <c r="G84" s="59"/>
      <c r="H84" s="59"/>
      <c r="I84" s="59"/>
      <c r="J84" s="59"/>
    </row>
    <row r="85" spans="1:10" ht="15.75" customHeight="1">
      <c r="A85" s="59"/>
      <c r="B85" s="59"/>
      <c r="C85" s="59"/>
      <c r="D85" s="59"/>
      <c r="E85" s="59"/>
      <c r="F85" s="59"/>
      <c r="G85" s="59"/>
      <c r="H85" s="59"/>
      <c r="I85" s="59"/>
      <c r="J85" s="59"/>
    </row>
    <row r="86" spans="1:10" ht="15.75" customHeight="1">
      <c r="A86" s="59"/>
      <c r="B86" s="59"/>
      <c r="C86" s="59"/>
      <c r="D86" s="59"/>
      <c r="E86" s="59"/>
      <c r="F86" s="59"/>
      <c r="G86" s="59"/>
      <c r="H86" s="59"/>
      <c r="I86" s="59"/>
      <c r="J86" s="59"/>
    </row>
    <row r="87" spans="1:10" ht="15.75" customHeight="1">
      <c r="A87" s="59"/>
      <c r="B87" s="59"/>
      <c r="C87" s="59"/>
      <c r="D87" s="59"/>
      <c r="E87" s="59"/>
      <c r="F87" s="59"/>
      <c r="G87" s="59"/>
      <c r="H87" s="59"/>
      <c r="I87" s="59"/>
      <c r="J87" s="59"/>
    </row>
    <row r="88" spans="1:10" ht="15.75" customHeight="1">
      <c r="A88" s="59"/>
      <c r="B88" s="59"/>
      <c r="C88" s="59"/>
      <c r="D88" s="59"/>
      <c r="E88" s="59"/>
      <c r="F88" s="59"/>
      <c r="G88" s="59"/>
      <c r="H88" s="59"/>
      <c r="I88" s="59"/>
      <c r="J88" s="59"/>
    </row>
    <row r="89" spans="1:10" ht="15.75" customHeight="1">
      <c r="A89" s="59"/>
      <c r="B89" s="59"/>
      <c r="C89" s="59"/>
      <c r="D89" s="59"/>
      <c r="E89" s="59"/>
      <c r="F89" s="59"/>
      <c r="G89" s="59"/>
      <c r="H89" s="59"/>
      <c r="I89" s="59"/>
      <c r="J89" s="59"/>
    </row>
    <row r="90" spans="1:10" ht="15.75" customHeight="1">
      <c r="A90" s="59"/>
      <c r="B90" s="59"/>
      <c r="C90" s="59"/>
      <c r="D90" s="59"/>
      <c r="E90" s="59"/>
      <c r="F90" s="59"/>
      <c r="G90" s="59"/>
      <c r="H90" s="59"/>
      <c r="I90" s="59"/>
      <c r="J90" s="59"/>
    </row>
    <row r="91" spans="1:10" ht="15.75" customHeight="1">
      <c r="A91" s="59"/>
      <c r="B91" s="59"/>
      <c r="C91" s="59"/>
      <c r="D91" s="59"/>
      <c r="E91" s="59"/>
      <c r="F91" s="59"/>
      <c r="G91" s="59"/>
      <c r="H91" s="59"/>
      <c r="I91" s="59"/>
      <c r="J91" s="59"/>
    </row>
    <row r="92" spans="1:10" ht="15.75" customHeight="1">
      <c r="A92" s="59"/>
      <c r="B92" s="59"/>
      <c r="C92" s="59"/>
      <c r="D92" s="59"/>
      <c r="E92" s="59"/>
      <c r="F92" s="59"/>
      <c r="G92" s="59"/>
      <c r="H92" s="59"/>
      <c r="I92" s="59"/>
      <c r="J92" s="59"/>
    </row>
    <row r="93" spans="1:10" ht="15.75" customHeight="1">
      <c r="A93" s="59"/>
      <c r="B93" s="59"/>
      <c r="C93" s="59"/>
      <c r="D93" s="59"/>
      <c r="E93" s="59"/>
      <c r="F93" s="59"/>
      <c r="G93" s="59"/>
      <c r="H93" s="59"/>
      <c r="I93" s="59"/>
      <c r="J93" s="59"/>
    </row>
    <row r="94" spans="1:10" ht="15.75" customHeight="1">
      <c r="A94" s="59"/>
      <c r="B94" s="59"/>
      <c r="C94" s="59"/>
      <c r="D94" s="59"/>
      <c r="E94" s="59"/>
      <c r="F94" s="59"/>
      <c r="G94" s="59"/>
      <c r="H94" s="59"/>
      <c r="I94" s="59"/>
      <c r="J94" s="59"/>
    </row>
    <row r="95" spans="1:10" ht="15.75" customHeight="1">
      <c r="A95" s="59"/>
      <c r="B95" s="59"/>
      <c r="C95" s="59"/>
      <c r="D95" s="59"/>
      <c r="E95" s="59"/>
      <c r="F95" s="59"/>
      <c r="G95" s="59"/>
      <c r="H95" s="59"/>
      <c r="I95" s="59"/>
      <c r="J95" s="59"/>
    </row>
    <row r="96" spans="1:10" ht="15.75" customHeight="1">
      <c r="A96" s="59"/>
      <c r="B96" s="59"/>
      <c r="C96" s="59"/>
      <c r="D96" s="59"/>
      <c r="E96" s="59"/>
      <c r="F96" s="59"/>
      <c r="G96" s="59"/>
      <c r="H96" s="59"/>
      <c r="I96" s="59"/>
      <c r="J96" s="59"/>
    </row>
    <row r="97" spans="1:10" ht="15.75" customHeight="1">
      <c r="A97" s="59"/>
      <c r="B97" s="59"/>
      <c r="C97" s="59"/>
      <c r="D97" s="59"/>
      <c r="E97" s="59"/>
      <c r="F97" s="59"/>
      <c r="G97" s="59"/>
      <c r="H97" s="59"/>
      <c r="I97" s="59"/>
      <c r="J97" s="59"/>
    </row>
    <row r="98" spans="1:10" ht="15.75" customHeight="1">
      <c r="A98" s="59"/>
      <c r="B98" s="59"/>
      <c r="C98" s="59"/>
      <c r="D98" s="59"/>
      <c r="E98" s="59"/>
      <c r="F98" s="59"/>
      <c r="G98" s="59"/>
      <c r="H98" s="59"/>
      <c r="I98" s="59"/>
      <c r="J98" s="59"/>
    </row>
    <row r="99" spans="1:10" ht="15.75" customHeight="1">
      <c r="A99" s="59"/>
      <c r="B99" s="59"/>
      <c r="C99" s="59"/>
      <c r="D99" s="59"/>
      <c r="E99" s="59"/>
      <c r="F99" s="59"/>
      <c r="G99" s="59"/>
      <c r="H99" s="59"/>
      <c r="I99" s="59"/>
      <c r="J99" s="59"/>
    </row>
    <row r="100" spans="1:10" ht="15.75" customHeight="1">
      <c r="A100" s="59"/>
      <c r="B100" s="59"/>
      <c r="C100" s="59"/>
      <c r="D100" s="59"/>
      <c r="E100" s="59"/>
      <c r="F100" s="59"/>
      <c r="G100" s="59"/>
      <c r="H100" s="59"/>
      <c r="I100" s="59"/>
      <c r="J100" s="59"/>
    </row>
    <row r="101" spans="1:10" ht="15.75" customHeight="1">
      <c r="A101" s="59"/>
      <c r="B101" s="59"/>
      <c r="C101" s="59"/>
      <c r="D101" s="59"/>
      <c r="E101" s="59"/>
      <c r="F101" s="59"/>
      <c r="G101" s="59"/>
      <c r="H101" s="59"/>
      <c r="I101" s="59"/>
      <c r="J101" s="59"/>
    </row>
    <row r="102" spans="1:10" ht="15.75" customHeight="1">
      <c r="A102" s="59"/>
      <c r="B102" s="59"/>
      <c r="C102" s="59"/>
      <c r="D102" s="59"/>
      <c r="E102" s="59"/>
      <c r="F102" s="59"/>
      <c r="G102" s="59"/>
      <c r="H102" s="59"/>
      <c r="I102" s="59"/>
      <c r="J102" s="59"/>
    </row>
    <row r="103" spans="1:10" ht="15.75" customHeight="1">
      <c r="A103" s="59"/>
      <c r="B103" s="59"/>
      <c r="C103" s="59"/>
      <c r="D103" s="59"/>
      <c r="E103" s="59"/>
      <c r="F103" s="59"/>
      <c r="G103" s="59"/>
      <c r="H103" s="59"/>
      <c r="I103" s="59"/>
      <c r="J103" s="59"/>
    </row>
    <row r="104" spans="1:10" ht="15.75" customHeight="1">
      <c r="A104" s="59"/>
      <c r="B104" s="59"/>
      <c r="C104" s="59"/>
      <c r="D104" s="59"/>
      <c r="E104" s="59"/>
      <c r="F104" s="59"/>
      <c r="G104" s="59"/>
      <c r="H104" s="59"/>
      <c r="I104" s="59"/>
      <c r="J104" s="59"/>
    </row>
    <row r="105" spans="1:10" ht="15.75" customHeight="1">
      <c r="A105" s="59"/>
      <c r="B105" s="59"/>
      <c r="C105" s="59"/>
      <c r="D105" s="59"/>
      <c r="E105" s="59"/>
      <c r="F105" s="59"/>
      <c r="G105" s="59"/>
      <c r="H105" s="59"/>
      <c r="I105" s="59"/>
      <c r="J105" s="59"/>
    </row>
    <row r="106" spans="1:10" ht="15.75" customHeight="1">
      <c r="A106" s="59"/>
      <c r="B106" s="59"/>
      <c r="C106" s="59"/>
      <c r="D106" s="59"/>
      <c r="E106" s="59"/>
      <c r="F106" s="59"/>
      <c r="G106" s="59"/>
      <c r="H106" s="59"/>
      <c r="I106" s="59"/>
      <c r="J106" s="59"/>
    </row>
    <row r="107" spans="1:10" ht="15.75" customHeight="1">
      <c r="A107" s="59"/>
      <c r="B107" s="59"/>
      <c r="C107" s="59"/>
      <c r="D107" s="59"/>
      <c r="E107" s="59"/>
      <c r="F107" s="59"/>
      <c r="G107" s="59"/>
      <c r="H107" s="59"/>
      <c r="I107" s="59"/>
      <c r="J107" s="59"/>
    </row>
    <row r="108" spans="1:10" ht="15.75" customHeight="1">
      <c r="A108" s="59"/>
      <c r="B108" s="59"/>
      <c r="C108" s="59"/>
      <c r="D108" s="59"/>
      <c r="E108" s="59"/>
      <c r="F108" s="59"/>
      <c r="G108" s="59"/>
      <c r="H108" s="59"/>
      <c r="I108" s="59"/>
      <c r="J108" s="59"/>
    </row>
    <row r="109" spans="1:10" ht="15.75" customHeight="1">
      <c r="A109" s="59"/>
      <c r="B109" s="59"/>
      <c r="C109" s="59"/>
      <c r="D109" s="59"/>
      <c r="E109" s="59"/>
      <c r="F109" s="59"/>
      <c r="G109" s="59"/>
      <c r="H109" s="59"/>
      <c r="I109" s="59"/>
      <c r="J109" s="59"/>
    </row>
    <row r="110" spans="1:10" ht="15.75" customHeight="1">
      <c r="A110" s="59"/>
      <c r="B110" s="59"/>
      <c r="C110" s="59"/>
      <c r="D110" s="59"/>
      <c r="E110" s="59"/>
      <c r="F110" s="59"/>
      <c r="G110" s="59"/>
      <c r="H110" s="59"/>
      <c r="I110" s="59"/>
      <c r="J110" s="59"/>
    </row>
    <row r="111" spans="1:10" ht="15.75" customHeight="1">
      <c r="A111" s="59"/>
      <c r="B111" s="59"/>
      <c r="C111" s="59"/>
      <c r="D111" s="59"/>
      <c r="E111" s="59"/>
      <c r="F111" s="59"/>
      <c r="G111" s="59"/>
      <c r="H111" s="59"/>
      <c r="I111" s="59"/>
      <c r="J111" s="59"/>
    </row>
    <row r="112" spans="1:10" ht="15.75" customHeight="1">
      <c r="A112" s="59"/>
      <c r="B112" s="59"/>
      <c r="C112" s="59"/>
      <c r="D112" s="59"/>
      <c r="E112" s="59"/>
      <c r="F112" s="59"/>
      <c r="G112" s="59"/>
      <c r="H112" s="59"/>
      <c r="I112" s="59"/>
      <c r="J112" s="59"/>
    </row>
    <row r="113" spans="1:10" ht="15.75" customHeight="1">
      <c r="A113" s="59"/>
      <c r="B113" s="59"/>
      <c r="C113" s="59"/>
      <c r="D113" s="59"/>
      <c r="E113" s="59"/>
      <c r="F113" s="59"/>
      <c r="G113" s="59"/>
      <c r="H113" s="59"/>
      <c r="I113" s="59"/>
      <c r="J113" s="59"/>
    </row>
    <row r="114" spans="1:10" ht="15.75" customHeight="1">
      <c r="A114" s="59"/>
      <c r="B114" s="59"/>
      <c r="C114" s="59"/>
      <c r="D114" s="59"/>
      <c r="E114" s="59"/>
      <c r="F114" s="59"/>
      <c r="G114" s="59"/>
      <c r="H114" s="59"/>
      <c r="I114" s="59"/>
      <c r="J114" s="59"/>
    </row>
    <row r="115" spans="1:10" ht="15.75" customHeight="1">
      <c r="A115" s="59"/>
      <c r="B115" s="59"/>
      <c r="C115" s="59"/>
      <c r="D115" s="59"/>
      <c r="E115" s="59"/>
      <c r="F115" s="59"/>
      <c r="G115" s="59"/>
      <c r="H115" s="59"/>
      <c r="I115" s="59"/>
      <c r="J115" s="59"/>
    </row>
    <row r="116" spans="1:10" ht="15.75" customHeight="1">
      <c r="A116" s="59"/>
      <c r="B116" s="59"/>
      <c r="C116" s="59"/>
      <c r="D116" s="59"/>
      <c r="E116" s="59"/>
      <c r="F116" s="59"/>
      <c r="G116" s="59"/>
      <c r="H116" s="59"/>
      <c r="I116" s="59"/>
      <c r="J116" s="59"/>
    </row>
    <row r="117" spans="1:10" ht="15.75" customHeight="1">
      <c r="A117" s="59"/>
      <c r="B117" s="59"/>
      <c r="C117" s="59"/>
      <c r="D117" s="59"/>
      <c r="E117" s="59"/>
      <c r="F117" s="59"/>
      <c r="G117" s="59"/>
      <c r="H117" s="59"/>
      <c r="I117" s="59"/>
      <c r="J117" s="59"/>
    </row>
    <row r="118" spans="1:10" ht="15.75" customHeight="1">
      <c r="A118" s="59"/>
      <c r="B118" s="59"/>
      <c r="C118" s="59"/>
      <c r="D118" s="59"/>
      <c r="E118" s="59"/>
      <c r="F118" s="59"/>
      <c r="G118" s="59"/>
      <c r="H118" s="59"/>
      <c r="I118" s="59"/>
      <c r="J118" s="59"/>
    </row>
    <row r="119" spans="1:10" ht="15.75" customHeight="1">
      <c r="A119" s="59"/>
      <c r="B119" s="59"/>
      <c r="C119" s="59"/>
      <c r="D119" s="59"/>
      <c r="E119" s="59"/>
      <c r="F119" s="59"/>
      <c r="G119" s="59"/>
      <c r="H119" s="59"/>
      <c r="I119" s="59"/>
      <c r="J119" s="59"/>
    </row>
    <row r="120" spans="1:10" ht="15.75" customHeight="1">
      <c r="A120" s="59"/>
      <c r="B120" s="59"/>
      <c r="C120" s="59"/>
      <c r="D120" s="59"/>
      <c r="E120" s="59"/>
      <c r="F120" s="59"/>
      <c r="G120" s="59"/>
      <c r="H120" s="59"/>
      <c r="I120" s="59"/>
      <c r="J120" s="59"/>
    </row>
    <row r="121" spans="1:10" ht="15.75" customHeight="1">
      <c r="A121" s="59"/>
      <c r="B121" s="59"/>
      <c r="C121" s="59"/>
      <c r="D121" s="59"/>
      <c r="E121" s="59"/>
      <c r="F121" s="59"/>
      <c r="G121" s="59"/>
      <c r="H121" s="59"/>
      <c r="I121" s="59"/>
      <c r="J121" s="59"/>
    </row>
    <row r="122" spans="1:10" ht="15.75" customHeight="1">
      <c r="A122" s="59"/>
      <c r="B122" s="59"/>
      <c r="C122" s="59"/>
      <c r="D122" s="59"/>
      <c r="E122" s="59"/>
      <c r="F122" s="59"/>
      <c r="G122" s="59"/>
      <c r="H122" s="59"/>
      <c r="I122" s="59"/>
      <c r="J122" s="59"/>
    </row>
    <row r="123" spans="1:10" ht="15.75" customHeight="1">
      <c r="A123" s="59"/>
      <c r="B123" s="59"/>
      <c r="C123" s="59"/>
      <c r="D123" s="59"/>
      <c r="E123" s="59"/>
      <c r="F123" s="59"/>
      <c r="G123" s="59"/>
      <c r="H123" s="59"/>
      <c r="I123" s="59"/>
      <c r="J123" s="59"/>
    </row>
    <row r="124" spans="1:10" ht="15.75" customHeight="1">
      <c r="A124" s="59"/>
      <c r="B124" s="59"/>
      <c r="C124" s="59"/>
      <c r="D124" s="59"/>
      <c r="E124" s="59"/>
      <c r="F124" s="59"/>
      <c r="G124" s="59"/>
      <c r="H124" s="59"/>
      <c r="I124" s="59"/>
      <c r="J124" s="59"/>
    </row>
    <row r="125" spans="1:10" ht="15.75" customHeight="1">
      <c r="A125" s="59"/>
      <c r="B125" s="59"/>
      <c r="C125" s="59"/>
      <c r="D125" s="59"/>
      <c r="E125" s="59"/>
      <c r="F125" s="59"/>
      <c r="G125" s="59"/>
      <c r="H125" s="59"/>
      <c r="I125" s="59"/>
      <c r="J125" s="59"/>
    </row>
    <row r="126" spans="1:10" ht="15.75" customHeight="1">
      <c r="A126" s="59"/>
      <c r="B126" s="59"/>
      <c r="C126" s="59"/>
      <c r="D126" s="59"/>
      <c r="E126" s="59"/>
      <c r="F126" s="59"/>
      <c r="G126" s="59"/>
      <c r="H126" s="59"/>
      <c r="I126" s="59"/>
      <c r="J126" s="59"/>
    </row>
    <row r="127" spans="1:10" ht="15.75" customHeight="1">
      <c r="A127" s="59"/>
      <c r="B127" s="59"/>
      <c r="C127" s="59"/>
      <c r="D127" s="59"/>
      <c r="E127" s="59"/>
      <c r="F127" s="59"/>
      <c r="G127" s="59"/>
      <c r="H127" s="59"/>
      <c r="I127" s="59"/>
      <c r="J127" s="59"/>
    </row>
    <row r="128" spans="1:10" ht="15.75" customHeight="1">
      <c r="A128" s="59"/>
      <c r="B128" s="59"/>
      <c r="C128" s="59"/>
      <c r="D128" s="59"/>
      <c r="E128" s="59"/>
      <c r="F128" s="59"/>
      <c r="G128" s="59"/>
      <c r="H128" s="59"/>
      <c r="I128" s="59"/>
      <c r="J128" s="59"/>
    </row>
    <row r="129" spans="1:10" ht="15.75" customHeight="1">
      <c r="A129" s="59"/>
      <c r="B129" s="59"/>
      <c r="C129" s="59"/>
      <c r="D129" s="59"/>
      <c r="E129" s="59"/>
      <c r="F129" s="59"/>
      <c r="G129" s="59"/>
      <c r="H129" s="59"/>
      <c r="I129" s="59"/>
      <c r="J129" s="59"/>
    </row>
    <row r="130" spans="1:10" ht="15.75" customHeight="1">
      <c r="A130" s="59"/>
      <c r="B130" s="59"/>
      <c r="C130" s="59"/>
      <c r="D130" s="59"/>
      <c r="E130" s="59"/>
      <c r="F130" s="59"/>
      <c r="G130" s="59"/>
      <c r="H130" s="59"/>
      <c r="I130" s="59"/>
      <c r="J130" s="59"/>
    </row>
    <row r="131" spans="1:10" ht="15.75" customHeight="1">
      <c r="A131" s="59"/>
      <c r="B131" s="59"/>
      <c r="C131" s="59"/>
      <c r="D131" s="59"/>
      <c r="E131" s="59"/>
      <c r="F131" s="59"/>
      <c r="G131" s="59"/>
      <c r="H131" s="59"/>
      <c r="I131" s="59"/>
      <c r="J131" s="59"/>
    </row>
    <row r="132" spans="1:10" ht="15.75" customHeight="1">
      <c r="A132" s="59"/>
      <c r="B132" s="59"/>
      <c r="C132" s="59"/>
      <c r="D132" s="59"/>
      <c r="E132" s="59"/>
      <c r="F132" s="59"/>
      <c r="G132" s="59"/>
      <c r="H132" s="59"/>
      <c r="I132" s="59"/>
      <c r="J132" s="59"/>
    </row>
    <row r="133" spans="1:10" ht="15.75" customHeight="1">
      <c r="A133" s="59"/>
      <c r="B133" s="59"/>
      <c r="C133" s="59"/>
      <c r="D133" s="59"/>
      <c r="E133" s="59"/>
      <c r="F133" s="59"/>
      <c r="G133" s="59"/>
      <c r="H133" s="59"/>
      <c r="I133" s="59"/>
      <c r="J133" s="59"/>
    </row>
    <row r="134" spans="1:10" ht="15.75" customHeight="1">
      <c r="A134" s="59"/>
      <c r="B134" s="59"/>
      <c r="C134" s="59"/>
      <c r="D134" s="59"/>
      <c r="E134" s="59"/>
      <c r="F134" s="59"/>
      <c r="G134" s="59"/>
      <c r="H134" s="59"/>
      <c r="I134" s="59"/>
      <c r="J134" s="59"/>
    </row>
    <row r="135" spans="1:10" ht="15.75" customHeight="1">
      <c r="A135" s="59"/>
      <c r="B135" s="59"/>
      <c r="C135" s="59"/>
      <c r="D135" s="59"/>
      <c r="E135" s="59"/>
      <c r="F135" s="59"/>
      <c r="G135" s="59"/>
      <c r="H135" s="59"/>
      <c r="I135" s="59"/>
      <c r="J135" s="59"/>
    </row>
    <row r="136" spans="1:10" ht="15.75" customHeight="1">
      <c r="A136" s="59"/>
      <c r="B136" s="59"/>
      <c r="C136" s="59"/>
      <c r="D136" s="59"/>
      <c r="E136" s="59"/>
      <c r="F136" s="59"/>
      <c r="G136" s="59"/>
      <c r="H136" s="59"/>
      <c r="I136" s="59"/>
      <c r="J136" s="59"/>
    </row>
    <row r="137" spans="1:10" ht="15.75" customHeight="1">
      <c r="A137" s="59"/>
      <c r="B137" s="59"/>
      <c r="C137" s="59"/>
      <c r="D137" s="59"/>
      <c r="E137" s="59"/>
      <c r="F137" s="59"/>
      <c r="G137" s="59"/>
      <c r="H137" s="59"/>
      <c r="I137" s="59"/>
      <c r="J137" s="59"/>
    </row>
    <row r="138" spans="1:10" ht="15.75" customHeight="1">
      <c r="A138" s="59"/>
      <c r="B138" s="59"/>
      <c r="C138" s="59"/>
      <c r="D138" s="59"/>
      <c r="E138" s="59"/>
      <c r="F138" s="59"/>
      <c r="G138" s="59"/>
      <c r="H138" s="59"/>
      <c r="I138" s="59"/>
      <c r="J138" s="59"/>
    </row>
    <row r="139" spans="1:10" ht="15.75" customHeight="1">
      <c r="A139" s="59"/>
      <c r="B139" s="59"/>
      <c r="C139" s="59"/>
      <c r="D139" s="59"/>
      <c r="E139" s="59"/>
      <c r="F139" s="59"/>
      <c r="G139" s="59"/>
      <c r="H139" s="59"/>
      <c r="I139" s="59"/>
      <c r="J139" s="59"/>
    </row>
    <row r="140" spans="1:10" ht="15.75" customHeight="1">
      <c r="A140" s="59"/>
      <c r="B140" s="59"/>
      <c r="C140" s="59"/>
      <c r="D140" s="59"/>
      <c r="E140" s="59"/>
      <c r="F140" s="59"/>
      <c r="G140" s="59"/>
      <c r="H140" s="59"/>
      <c r="I140" s="59"/>
      <c r="J140" s="59"/>
    </row>
    <row r="141" spans="1:10" ht="15.75" customHeight="1">
      <c r="A141" s="59"/>
      <c r="B141" s="59"/>
      <c r="C141" s="59"/>
      <c r="D141" s="59"/>
      <c r="E141" s="59"/>
      <c r="F141" s="59"/>
      <c r="G141" s="59"/>
      <c r="H141" s="59"/>
      <c r="I141" s="59"/>
      <c r="J141" s="59"/>
    </row>
    <row r="142" spans="1:10" ht="15.75" customHeight="1">
      <c r="A142" s="59"/>
      <c r="B142" s="59"/>
      <c r="C142" s="59"/>
      <c r="D142" s="59"/>
      <c r="E142" s="59"/>
      <c r="F142" s="59"/>
      <c r="G142" s="59"/>
      <c r="H142" s="59"/>
      <c r="I142" s="59"/>
      <c r="J142" s="59"/>
    </row>
    <row r="143" spans="1:10" ht="15.75" customHeight="1">
      <c r="A143" s="59"/>
      <c r="B143" s="59"/>
      <c r="C143" s="59"/>
      <c r="D143" s="59"/>
      <c r="E143" s="59"/>
      <c r="F143" s="59"/>
      <c r="G143" s="59"/>
      <c r="H143" s="59"/>
      <c r="I143" s="59"/>
      <c r="J143" s="59"/>
    </row>
    <row r="144" spans="1:10" ht="15.75" customHeight="1">
      <c r="A144" s="59"/>
      <c r="B144" s="59"/>
      <c r="C144" s="59"/>
      <c r="D144" s="59"/>
      <c r="E144" s="59"/>
      <c r="F144" s="59"/>
      <c r="G144" s="59"/>
      <c r="H144" s="59"/>
      <c r="I144" s="59"/>
      <c r="J144" s="59"/>
    </row>
    <row r="145" spans="1:10" ht="15.75" customHeight="1">
      <c r="A145" s="59"/>
      <c r="B145" s="59"/>
      <c r="C145" s="59"/>
      <c r="D145" s="59"/>
      <c r="E145" s="59"/>
      <c r="F145" s="59"/>
      <c r="G145" s="59"/>
      <c r="H145" s="59"/>
      <c r="I145" s="59"/>
      <c r="J145" s="59"/>
    </row>
    <row r="146" spans="1:10" ht="15.75" customHeight="1">
      <c r="A146" s="59"/>
      <c r="B146" s="59"/>
      <c r="C146" s="59"/>
      <c r="D146" s="59"/>
      <c r="E146" s="59"/>
      <c r="F146" s="59"/>
      <c r="G146" s="59"/>
      <c r="H146" s="59"/>
      <c r="I146" s="59"/>
      <c r="J146" s="59"/>
    </row>
    <row r="147" spans="1:10" ht="15.75" customHeight="1">
      <c r="A147" s="59"/>
      <c r="B147" s="59"/>
      <c r="C147" s="59"/>
      <c r="D147" s="59"/>
      <c r="E147" s="59"/>
      <c r="F147" s="59"/>
      <c r="G147" s="59"/>
      <c r="H147" s="59"/>
      <c r="I147" s="59"/>
      <c r="J147" s="59"/>
    </row>
    <row r="148" spans="1:10" ht="15.75" customHeight="1">
      <c r="A148" s="59"/>
      <c r="B148" s="59"/>
      <c r="C148" s="59"/>
      <c r="D148" s="59"/>
      <c r="E148" s="59"/>
      <c r="F148" s="59"/>
      <c r="G148" s="59"/>
      <c r="H148" s="59"/>
      <c r="I148" s="59"/>
      <c r="J148" s="59"/>
    </row>
    <row r="149" spans="1:10" ht="15.75" customHeight="1">
      <c r="A149" s="59"/>
      <c r="B149" s="59"/>
      <c r="C149" s="59"/>
      <c r="D149" s="59"/>
      <c r="E149" s="59"/>
      <c r="F149" s="59"/>
      <c r="G149" s="59"/>
      <c r="H149" s="59"/>
      <c r="I149" s="59"/>
      <c r="J149" s="59"/>
    </row>
    <row r="150" spans="1:10" ht="15.75" customHeight="1">
      <c r="A150" s="59"/>
      <c r="B150" s="59"/>
      <c r="C150" s="59"/>
      <c r="D150" s="59"/>
      <c r="E150" s="59"/>
      <c r="F150" s="59"/>
      <c r="G150" s="59"/>
      <c r="H150" s="59"/>
      <c r="I150" s="59"/>
      <c r="J150" s="59"/>
    </row>
    <row r="151" spans="1:10" ht="15.75" customHeight="1">
      <c r="A151" s="59"/>
      <c r="B151" s="59"/>
      <c r="C151" s="59"/>
      <c r="D151" s="59"/>
      <c r="E151" s="59"/>
      <c r="F151" s="59"/>
      <c r="G151" s="59"/>
      <c r="H151" s="59"/>
      <c r="I151" s="59"/>
      <c r="J151" s="59"/>
    </row>
    <row r="152" spans="1:10" ht="15.75" customHeight="1">
      <c r="A152" s="59"/>
      <c r="B152" s="59"/>
      <c r="C152" s="59"/>
      <c r="D152" s="59"/>
      <c r="E152" s="59"/>
      <c r="F152" s="59"/>
      <c r="G152" s="59"/>
      <c r="H152" s="59"/>
      <c r="I152" s="59"/>
      <c r="J152" s="59"/>
    </row>
    <row r="153" spans="1:10" ht="15.75" customHeight="1">
      <c r="A153" s="59"/>
      <c r="B153" s="59"/>
      <c r="C153" s="59"/>
      <c r="D153" s="59"/>
      <c r="E153" s="59"/>
      <c r="F153" s="59"/>
      <c r="G153" s="59"/>
      <c r="H153" s="59"/>
      <c r="I153" s="59"/>
      <c r="J153" s="59"/>
    </row>
    <row r="154" spans="1:10" ht="15.75" customHeight="1">
      <c r="A154" s="59"/>
      <c r="B154" s="59"/>
      <c r="C154" s="59"/>
      <c r="D154" s="59"/>
      <c r="E154" s="59"/>
      <c r="F154" s="59"/>
      <c r="G154" s="59"/>
      <c r="H154" s="59"/>
      <c r="I154" s="59"/>
      <c r="J154" s="59"/>
    </row>
    <row r="155" spans="1:10" ht="15.75" customHeight="1">
      <c r="A155" s="59"/>
      <c r="B155" s="59"/>
      <c r="C155" s="59"/>
      <c r="D155" s="59"/>
      <c r="E155" s="59"/>
      <c r="F155" s="59"/>
      <c r="G155" s="59"/>
      <c r="H155" s="59"/>
      <c r="I155" s="59"/>
      <c r="J155" s="59"/>
    </row>
    <row r="156" spans="1:10" ht="15.75" customHeight="1">
      <c r="A156" s="59"/>
      <c r="B156" s="59"/>
      <c r="C156" s="59"/>
      <c r="D156" s="59"/>
      <c r="E156" s="59"/>
      <c r="F156" s="59"/>
      <c r="G156" s="59"/>
      <c r="H156" s="59"/>
      <c r="I156" s="59"/>
      <c r="J156" s="59"/>
    </row>
    <row r="157" spans="1:10" ht="15.75" customHeight="1">
      <c r="A157" s="59"/>
      <c r="B157" s="59"/>
      <c r="C157" s="59"/>
      <c r="D157" s="59"/>
      <c r="E157" s="59"/>
      <c r="F157" s="59"/>
      <c r="G157" s="59"/>
      <c r="H157" s="59"/>
      <c r="I157" s="59"/>
      <c r="J157" s="59"/>
    </row>
    <row r="158" spans="1:10" ht="15.75" customHeight="1">
      <c r="A158" s="59"/>
      <c r="B158" s="59"/>
      <c r="C158" s="59"/>
      <c r="D158" s="59"/>
      <c r="E158" s="59"/>
      <c r="F158" s="59"/>
      <c r="G158" s="59"/>
      <c r="H158" s="59"/>
      <c r="I158" s="59"/>
      <c r="J158" s="59"/>
    </row>
    <row r="159" spans="1:10" ht="15.75" customHeight="1">
      <c r="A159" s="59"/>
      <c r="B159" s="59"/>
      <c r="C159" s="59"/>
      <c r="D159" s="59"/>
      <c r="E159" s="59"/>
      <c r="F159" s="59"/>
      <c r="G159" s="59"/>
      <c r="H159" s="59"/>
      <c r="I159" s="59"/>
      <c r="J159" s="59"/>
    </row>
    <row r="160" spans="1:10" ht="15.75" customHeight="1">
      <c r="A160" s="59"/>
      <c r="B160" s="59"/>
      <c r="C160" s="59"/>
      <c r="D160" s="59"/>
      <c r="E160" s="59"/>
      <c r="F160" s="59"/>
      <c r="G160" s="59"/>
      <c r="H160" s="59"/>
      <c r="I160" s="59"/>
      <c r="J160" s="59"/>
    </row>
    <row r="161" spans="1:10" ht="15.75" customHeight="1">
      <c r="A161" s="59"/>
      <c r="B161" s="59"/>
      <c r="C161" s="59"/>
      <c r="D161" s="59"/>
      <c r="E161" s="59"/>
      <c r="F161" s="59"/>
      <c r="G161" s="59"/>
      <c r="H161" s="59"/>
      <c r="I161" s="59"/>
      <c r="J161" s="59"/>
    </row>
    <row r="162" spans="1:10" ht="15.75" customHeight="1">
      <c r="A162" s="59"/>
      <c r="B162" s="59"/>
      <c r="C162" s="59"/>
      <c r="D162" s="59"/>
      <c r="E162" s="59"/>
      <c r="F162" s="59"/>
      <c r="G162" s="59"/>
      <c r="H162" s="59"/>
      <c r="I162" s="59"/>
      <c r="J162" s="59"/>
    </row>
    <row r="163" spans="1:10" ht="15.75" customHeight="1">
      <c r="A163" s="59"/>
      <c r="B163" s="59"/>
      <c r="C163" s="59"/>
      <c r="D163" s="59"/>
      <c r="E163" s="59"/>
      <c r="F163" s="59"/>
      <c r="G163" s="59"/>
      <c r="H163" s="59"/>
      <c r="I163" s="59"/>
      <c r="J163" s="59"/>
    </row>
    <row r="164" spans="1:10" ht="15.75" customHeight="1">
      <c r="A164" s="59"/>
      <c r="B164" s="59"/>
      <c r="C164" s="59"/>
      <c r="D164" s="59"/>
      <c r="E164" s="59"/>
      <c r="F164" s="59"/>
      <c r="G164" s="59"/>
      <c r="H164" s="59"/>
      <c r="I164" s="59"/>
      <c r="J164" s="59"/>
    </row>
    <row r="165" spans="1:10" ht="15.75" customHeight="1">
      <c r="A165" s="59"/>
      <c r="B165" s="59"/>
      <c r="C165" s="59"/>
      <c r="D165" s="59"/>
      <c r="E165" s="59"/>
      <c r="F165" s="59"/>
      <c r="G165" s="59"/>
      <c r="H165" s="59"/>
      <c r="I165" s="59"/>
      <c r="J165" s="59"/>
    </row>
    <row r="166" spans="1:10" ht="15.75" customHeight="1">
      <c r="A166" s="59"/>
      <c r="B166" s="59"/>
      <c r="C166" s="59"/>
      <c r="D166" s="59"/>
      <c r="E166" s="59"/>
      <c r="F166" s="59"/>
      <c r="G166" s="59"/>
      <c r="H166" s="59"/>
      <c r="I166" s="59"/>
      <c r="J166" s="59"/>
    </row>
    <row r="167" spans="1:10" ht="15.75" customHeight="1">
      <c r="A167" s="59"/>
      <c r="B167" s="59"/>
      <c r="C167" s="59"/>
      <c r="D167" s="59"/>
      <c r="E167" s="59"/>
      <c r="F167" s="59"/>
      <c r="G167" s="59"/>
      <c r="H167" s="59"/>
      <c r="I167" s="59"/>
      <c r="J167" s="59"/>
    </row>
    <row r="168" spans="1:10" ht="15.75" customHeight="1">
      <c r="A168" s="59"/>
      <c r="B168" s="59"/>
      <c r="C168" s="59"/>
      <c r="D168" s="59"/>
      <c r="E168" s="59"/>
      <c r="F168" s="59"/>
      <c r="G168" s="59"/>
      <c r="H168" s="59"/>
      <c r="I168" s="59"/>
      <c r="J168" s="59"/>
    </row>
    <row r="169" spans="1:10" ht="15.75" customHeight="1">
      <c r="A169" s="59"/>
      <c r="B169" s="59"/>
      <c r="C169" s="59"/>
      <c r="D169" s="59"/>
      <c r="E169" s="59"/>
      <c r="F169" s="59"/>
      <c r="G169" s="59"/>
      <c r="H169" s="59"/>
      <c r="I169" s="59"/>
      <c r="J169" s="59"/>
    </row>
    <row r="170" spans="1:10" ht="15.75" customHeight="1">
      <c r="A170" s="59"/>
      <c r="B170" s="59"/>
      <c r="C170" s="59"/>
      <c r="D170" s="59"/>
      <c r="E170" s="59"/>
      <c r="F170" s="59"/>
      <c r="G170" s="59"/>
      <c r="H170" s="59"/>
      <c r="I170" s="59"/>
      <c r="J170" s="59"/>
    </row>
    <row r="171" spans="1:10" ht="15.75" customHeight="1">
      <c r="A171" s="59"/>
      <c r="B171" s="59"/>
      <c r="C171" s="59"/>
      <c r="D171" s="59"/>
      <c r="E171" s="59"/>
      <c r="F171" s="59"/>
      <c r="G171" s="59"/>
      <c r="H171" s="59"/>
      <c r="I171" s="59"/>
      <c r="J171" s="59"/>
    </row>
    <row r="172" spans="1:10" ht="15.75" customHeight="1">
      <c r="A172" s="59"/>
      <c r="B172" s="59"/>
      <c r="C172" s="59"/>
      <c r="D172" s="59"/>
      <c r="E172" s="59"/>
      <c r="F172" s="59"/>
      <c r="G172" s="59"/>
      <c r="H172" s="59"/>
      <c r="I172" s="59"/>
      <c r="J172" s="59"/>
    </row>
    <row r="173" spans="1:10" ht="15.75" customHeight="1">
      <c r="A173" s="59"/>
      <c r="B173" s="59"/>
      <c r="C173" s="59"/>
      <c r="D173" s="59"/>
      <c r="E173" s="59"/>
      <c r="F173" s="59"/>
      <c r="G173" s="59"/>
      <c r="H173" s="59"/>
      <c r="I173" s="59"/>
      <c r="J173" s="59"/>
    </row>
    <row r="174" spans="1:10" ht="15.75" customHeight="1">
      <c r="A174" s="59"/>
      <c r="B174" s="59"/>
      <c r="C174" s="59"/>
      <c r="D174" s="59"/>
      <c r="E174" s="59"/>
      <c r="F174" s="59"/>
      <c r="G174" s="59"/>
      <c r="H174" s="59"/>
      <c r="I174" s="59"/>
      <c r="J174" s="59"/>
    </row>
    <row r="175" spans="1:10" ht="15.75" customHeight="1">
      <c r="A175" s="59"/>
      <c r="B175" s="59"/>
      <c r="C175" s="59"/>
      <c r="D175" s="59"/>
      <c r="E175" s="59"/>
      <c r="F175" s="59"/>
      <c r="G175" s="59"/>
      <c r="H175" s="59"/>
      <c r="I175" s="59"/>
      <c r="J175" s="59"/>
    </row>
    <row r="176" spans="1:10" ht="15.75" customHeight="1">
      <c r="A176" s="59"/>
      <c r="B176" s="59"/>
      <c r="C176" s="59"/>
      <c r="D176" s="59"/>
      <c r="E176" s="59"/>
      <c r="F176" s="59"/>
      <c r="G176" s="59"/>
      <c r="H176" s="59"/>
      <c r="I176" s="59"/>
      <c r="J176" s="59"/>
    </row>
    <row r="177" spans="1:10" ht="15.75" customHeight="1">
      <c r="A177" s="59"/>
      <c r="B177" s="59"/>
      <c r="C177" s="59"/>
      <c r="D177" s="59"/>
      <c r="E177" s="59"/>
      <c r="F177" s="59"/>
      <c r="G177" s="59"/>
      <c r="H177" s="59"/>
      <c r="I177" s="59"/>
      <c r="J177" s="59"/>
    </row>
    <row r="178" spans="1:10" ht="15.75" customHeight="1">
      <c r="A178" s="59"/>
      <c r="B178" s="59"/>
      <c r="C178" s="59"/>
      <c r="D178" s="59"/>
      <c r="E178" s="59"/>
      <c r="F178" s="59"/>
      <c r="G178" s="59"/>
      <c r="H178" s="59"/>
      <c r="I178" s="59"/>
      <c r="J178" s="59"/>
    </row>
    <row r="179" spans="1:10" ht="15.75" customHeight="1">
      <c r="A179" s="59"/>
      <c r="B179" s="59"/>
      <c r="C179" s="59"/>
      <c r="D179" s="59"/>
      <c r="E179" s="59"/>
      <c r="F179" s="59"/>
      <c r="G179" s="59"/>
      <c r="H179" s="59"/>
      <c r="I179" s="59"/>
      <c r="J179" s="59"/>
    </row>
    <row r="180" spans="1:10" ht="15.75" customHeight="1">
      <c r="A180" s="59"/>
      <c r="B180" s="59"/>
      <c r="C180" s="59"/>
      <c r="D180" s="59"/>
      <c r="E180" s="59"/>
      <c r="F180" s="59"/>
      <c r="G180" s="59"/>
      <c r="H180" s="59"/>
      <c r="I180" s="59"/>
      <c r="J180" s="59"/>
    </row>
    <row r="181" spans="1:10" ht="15.75" customHeight="1">
      <c r="A181" s="59"/>
      <c r="B181" s="59"/>
      <c r="C181" s="59"/>
      <c r="D181" s="59"/>
      <c r="E181" s="59"/>
      <c r="F181" s="59"/>
      <c r="G181" s="59"/>
      <c r="H181" s="59"/>
      <c r="I181" s="59"/>
      <c r="J181" s="59"/>
    </row>
    <row r="182" spans="1:10" ht="15.75" customHeight="1">
      <c r="A182" s="59"/>
      <c r="B182" s="59"/>
      <c r="C182" s="59"/>
      <c r="D182" s="59"/>
      <c r="E182" s="59"/>
      <c r="F182" s="59"/>
      <c r="G182" s="59"/>
      <c r="H182" s="59"/>
      <c r="I182" s="59"/>
      <c r="J182" s="59"/>
    </row>
    <row r="183" spans="1:10" ht="15.75" customHeight="1">
      <c r="A183" s="59"/>
      <c r="B183" s="59"/>
      <c r="C183" s="59"/>
      <c r="D183" s="59"/>
      <c r="E183" s="59"/>
      <c r="F183" s="59"/>
      <c r="G183" s="59"/>
      <c r="H183" s="59"/>
      <c r="I183" s="59"/>
      <c r="J183" s="59"/>
    </row>
    <row r="184" spans="1:10" ht="15.75" customHeight="1">
      <c r="A184" s="59"/>
      <c r="B184" s="59"/>
      <c r="C184" s="59"/>
      <c r="D184" s="59"/>
      <c r="E184" s="59"/>
      <c r="F184" s="59"/>
      <c r="G184" s="59"/>
      <c r="H184" s="59"/>
      <c r="I184" s="59"/>
      <c r="J184" s="59"/>
    </row>
    <row r="185" spans="1:10" ht="15.75" customHeight="1">
      <c r="A185" s="59"/>
      <c r="B185" s="59"/>
      <c r="C185" s="59"/>
      <c r="D185" s="59"/>
      <c r="E185" s="59"/>
      <c r="F185" s="59"/>
      <c r="G185" s="59"/>
      <c r="H185" s="59"/>
      <c r="I185" s="59"/>
      <c r="J185" s="59"/>
    </row>
    <row r="186" spans="1:10" ht="15.75" customHeight="1">
      <c r="A186" s="59"/>
      <c r="B186" s="59"/>
      <c r="C186" s="59"/>
      <c r="D186" s="59"/>
      <c r="E186" s="59"/>
      <c r="F186" s="59"/>
      <c r="G186" s="59"/>
      <c r="H186" s="59"/>
      <c r="I186" s="59"/>
      <c r="J186" s="59"/>
    </row>
    <row r="187" spans="1:10" ht="15.75" customHeight="1">
      <c r="A187" s="59"/>
      <c r="B187" s="59"/>
      <c r="C187" s="59"/>
      <c r="D187" s="59"/>
      <c r="E187" s="59"/>
      <c r="F187" s="59"/>
      <c r="G187" s="59"/>
      <c r="H187" s="59"/>
      <c r="I187" s="59"/>
      <c r="J187" s="59"/>
    </row>
    <row r="188" spans="1:10" ht="15.75" customHeight="1">
      <c r="A188" s="59"/>
      <c r="B188" s="59"/>
      <c r="C188" s="59"/>
      <c r="D188" s="59"/>
      <c r="E188" s="59"/>
      <c r="F188" s="59"/>
      <c r="G188" s="59"/>
      <c r="H188" s="59"/>
      <c r="I188" s="59"/>
      <c r="J188" s="59"/>
    </row>
    <row r="189" spans="1:10" ht="15.75" customHeight="1">
      <c r="A189" s="59"/>
      <c r="B189" s="59"/>
      <c r="C189" s="59"/>
      <c r="D189" s="59"/>
      <c r="E189" s="59"/>
      <c r="F189" s="59"/>
      <c r="G189" s="59"/>
      <c r="H189" s="59"/>
      <c r="I189" s="59"/>
      <c r="J189" s="59"/>
    </row>
    <row r="190" spans="1:10" ht="15.75" customHeight="1">
      <c r="A190" s="59"/>
      <c r="B190" s="59"/>
      <c r="C190" s="59"/>
      <c r="D190" s="59"/>
      <c r="E190" s="59"/>
      <c r="F190" s="59"/>
      <c r="G190" s="59"/>
      <c r="H190" s="59"/>
      <c r="I190" s="59"/>
      <c r="J190" s="59"/>
    </row>
    <row r="191" spans="1:10" ht="15.75" customHeight="1">
      <c r="A191" s="59"/>
      <c r="B191" s="59"/>
      <c r="C191" s="59"/>
      <c r="D191" s="59"/>
      <c r="E191" s="59"/>
      <c r="F191" s="59"/>
      <c r="G191" s="59"/>
      <c r="H191" s="59"/>
      <c r="I191" s="59"/>
      <c r="J191" s="59"/>
    </row>
    <row r="192" spans="1:10" ht="15.75" customHeight="1">
      <c r="A192" s="59"/>
      <c r="B192" s="59"/>
      <c r="C192" s="59"/>
      <c r="D192" s="59"/>
      <c r="E192" s="59"/>
      <c r="F192" s="59"/>
      <c r="G192" s="59"/>
      <c r="H192" s="59"/>
      <c r="I192" s="59"/>
      <c r="J192" s="59"/>
    </row>
    <row r="193" spans="1:10" ht="15.75" customHeight="1">
      <c r="A193" s="59"/>
      <c r="B193" s="59"/>
      <c r="C193" s="59"/>
      <c r="D193" s="59"/>
      <c r="E193" s="59"/>
      <c r="F193" s="59"/>
      <c r="G193" s="59"/>
      <c r="H193" s="59"/>
      <c r="I193" s="59"/>
      <c r="J193" s="59"/>
    </row>
    <row r="194" spans="1:10" ht="15.75" customHeight="1">
      <c r="A194" s="59"/>
      <c r="B194" s="59"/>
      <c r="C194" s="59"/>
      <c r="D194" s="59"/>
      <c r="E194" s="59"/>
      <c r="F194" s="59"/>
      <c r="G194" s="59"/>
      <c r="H194" s="59"/>
      <c r="I194" s="59"/>
      <c r="J194" s="59"/>
    </row>
    <row r="195" spans="1:10" ht="15.75" customHeight="1">
      <c r="A195" s="59"/>
      <c r="B195" s="59"/>
      <c r="C195" s="59"/>
      <c r="D195" s="59"/>
      <c r="E195" s="59"/>
      <c r="F195" s="59"/>
      <c r="G195" s="59"/>
      <c r="H195" s="59"/>
      <c r="I195" s="59"/>
      <c r="J195" s="59"/>
    </row>
    <row r="196" spans="1:10" ht="15.75" customHeight="1">
      <c r="A196" s="59"/>
      <c r="B196" s="59"/>
      <c r="C196" s="59"/>
      <c r="D196" s="59"/>
      <c r="E196" s="59"/>
      <c r="F196" s="59"/>
      <c r="G196" s="59"/>
      <c r="H196" s="59"/>
      <c r="I196" s="59"/>
      <c r="J196" s="59"/>
    </row>
    <row r="197" spans="1:10" ht="15.75" customHeight="1">
      <c r="A197" s="59"/>
      <c r="B197" s="59"/>
      <c r="C197" s="59"/>
      <c r="D197" s="59"/>
      <c r="E197" s="59"/>
      <c r="F197" s="59"/>
      <c r="G197" s="59"/>
      <c r="H197" s="59"/>
      <c r="I197" s="59"/>
      <c r="J197" s="59"/>
    </row>
    <row r="198" spans="1:10" ht="15.75" customHeight="1">
      <c r="A198" s="59"/>
      <c r="B198" s="59"/>
      <c r="C198" s="59"/>
      <c r="D198" s="59"/>
      <c r="E198" s="59"/>
      <c r="F198" s="59"/>
      <c r="G198" s="59"/>
      <c r="H198" s="59"/>
      <c r="I198" s="59"/>
      <c r="J198" s="59"/>
    </row>
    <row r="199" spans="1:10" ht="15.75" customHeight="1">
      <c r="A199" s="59"/>
      <c r="B199" s="59"/>
      <c r="C199" s="59"/>
      <c r="D199" s="59"/>
      <c r="E199" s="59"/>
      <c r="F199" s="59"/>
      <c r="G199" s="59"/>
      <c r="H199" s="59"/>
      <c r="I199" s="59"/>
      <c r="J199" s="59"/>
    </row>
    <row r="200" spans="1:10" ht="15.75" customHeight="1">
      <c r="A200" s="59"/>
      <c r="B200" s="59"/>
      <c r="C200" s="59"/>
      <c r="D200" s="59"/>
      <c r="E200" s="59"/>
      <c r="F200" s="59"/>
      <c r="G200" s="59"/>
      <c r="H200" s="59"/>
      <c r="I200" s="59"/>
      <c r="J200" s="59"/>
    </row>
    <row r="201" spans="1:10" ht="15.75" customHeight="1">
      <c r="A201" s="59"/>
      <c r="B201" s="59"/>
      <c r="C201" s="59"/>
      <c r="D201" s="59"/>
      <c r="E201" s="59"/>
      <c r="F201" s="59"/>
      <c r="G201" s="59"/>
      <c r="H201" s="59"/>
      <c r="I201" s="59"/>
      <c r="J201" s="59"/>
    </row>
    <row r="202" spans="1:10" ht="15.75" customHeight="1">
      <c r="A202" s="59"/>
      <c r="B202" s="59"/>
      <c r="C202" s="59"/>
      <c r="D202" s="59"/>
      <c r="E202" s="59"/>
      <c r="F202" s="59"/>
      <c r="G202" s="59"/>
      <c r="H202" s="59"/>
      <c r="I202" s="59"/>
      <c r="J202" s="59"/>
    </row>
    <row r="203" spans="1:10" ht="15.75" customHeight="1">
      <c r="A203" s="59"/>
      <c r="B203" s="59"/>
      <c r="C203" s="59"/>
      <c r="D203" s="59"/>
      <c r="E203" s="59"/>
      <c r="F203" s="59"/>
      <c r="G203" s="59"/>
      <c r="H203" s="59"/>
      <c r="I203" s="59"/>
      <c r="J203" s="59"/>
    </row>
    <row r="204" spans="1:10" ht="15.75" customHeight="1">
      <c r="A204" s="59"/>
      <c r="B204" s="59"/>
      <c r="C204" s="59"/>
      <c r="D204" s="59"/>
      <c r="E204" s="59"/>
      <c r="F204" s="59"/>
      <c r="G204" s="59"/>
      <c r="H204" s="59"/>
      <c r="I204" s="59"/>
      <c r="J204" s="59"/>
    </row>
    <row r="205" spans="1:10" ht="15.75" customHeight="1">
      <c r="A205" s="59"/>
      <c r="B205" s="59"/>
      <c r="C205" s="59"/>
      <c r="D205" s="59"/>
      <c r="E205" s="59"/>
      <c r="F205" s="59"/>
      <c r="G205" s="59"/>
      <c r="H205" s="59"/>
      <c r="I205" s="59"/>
      <c r="J205" s="59"/>
    </row>
    <row r="206" spans="1:10" ht="15.75" customHeight="1">
      <c r="A206" s="59"/>
      <c r="B206" s="59"/>
      <c r="C206" s="59"/>
      <c r="D206" s="59"/>
      <c r="E206" s="59"/>
      <c r="F206" s="59"/>
      <c r="G206" s="59"/>
      <c r="H206" s="59"/>
      <c r="I206" s="59"/>
      <c r="J206" s="59"/>
    </row>
    <row r="207" spans="1:10" ht="15.75" customHeight="1">
      <c r="A207" s="59"/>
      <c r="B207" s="59"/>
      <c r="C207" s="59"/>
      <c r="D207" s="59"/>
      <c r="E207" s="59"/>
      <c r="F207" s="59"/>
      <c r="G207" s="59"/>
      <c r="H207" s="59"/>
      <c r="I207" s="59"/>
      <c r="J207" s="59"/>
    </row>
    <row r="208" spans="1:10" ht="15.75" customHeight="1">
      <c r="A208" s="59"/>
      <c r="B208" s="59"/>
      <c r="C208" s="59"/>
      <c r="D208" s="59"/>
      <c r="E208" s="59"/>
      <c r="F208" s="59"/>
      <c r="G208" s="59"/>
      <c r="H208" s="59"/>
      <c r="I208" s="59"/>
      <c r="J208" s="59"/>
    </row>
    <row r="209" spans="1:10" ht="15.75" customHeight="1">
      <c r="A209" s="59"/>
      <c r="B209" s="59"/>
      <c r="C209" s="59"/>
      <c r="D209" s="59"/>
      <c r="E209" s="59"/>
      <c r="F209" s="59"/>
      <c r="G209" s="59"/>
      <c r="H209" s="59"/>
      <c r="I209" s="59"/>
      <c r="J209" s="59"/>
    </row>
    <row r="210" spans="1:10" ht="15.75" customHeight="1">
      <c r="A210" s="59"/>
      <c r="B210" s="59"/>
      <c r="C210" s="59"/>
      <c r="D210" s="59"/>
      <c r="E210" s="59"/>
      <c r="F210" s="59"/>
      <c r="G210" s="59"/>
      <c r="H210" s="59"/>
      <c r="I210" s="59"/>
      <c r="J210" s="59"/>
    </row>
    <row r="211" spans="1:10" ht="15.75" customHeight="1">
      <c r="A211" s="59"/>
      <c r="B211" s="59"/>
      <c r="C211" s="59"/>
      <c r="D211" s="59"/>
      <c r="E211" s="59"/>
      <c r="F211" s="59"/>
      <c r="G211" s="59"/>
      <c r="H211" s="59"/>
      <c r="I211" s="59"/>
      <c r="J211" s="59"/>
    </row>
    <row r="212" spans="1:10" ht="15.75" customHeight="1">
      <c r="A212" s="59"/>
      <c r="B212" s="59"/>
      <c r="C212" s="59"/>
      <c r="D212" s="59"/>
      <c r="E212" s="59"/>
      <c r="F212" s="59"/>
      <c r="G212" s="59"/>
      <c r="H212" s="59"/>
      <c r="I212" s="59"/>
      <c r="J212" s="59"/>
    </row>
    <row r="213" spans="1:10" ht="15.75" customHeight="1">
      <c r="A213" s="59"/>
      <c r="B213" s="59"/>
      <c r="C213" s="59"/>
      <c r="D213" s="59"/>
      <c r="E213" s="59"/>
      <c r="F213" s="59"/>
      <c r="G213" s="59"/>
      <c r="H213" s="59"/>
      <c r="I213" s="59"/>
      <c r="J213" s="59"/>
    </row>
    <row r="214" spans="1:10" ht="15.75" customHeight="1">
      <c r="A214" s="59"/>
      <c r="B214" s="59"/>
      <c r="C214" s="59"/>
      <c r="D214" s="59"/>
      <c r="E214" s="59"/>
      <c r="F214" s="59"/>
      <c r="G214" s="59"/>
      <c r="H214" s="59"/>
      <c r="I214" s="59"/>
      <c r="J214" s="59"/>
    </row>
    <row r="215" spans="1:10" ht="15.75" customHeight="1">
      <c r="A215" s="59"/>
      <c r="B215" s="59"/>
      <c r="C215" s="59"/>
      <c r="D215" s="59"/>
      <c r="E215" s="59"/>
      <c r="F215" s="59"/>
      <c r="G215" s="59"/>
      <c r="H215" s="59"/>
      <c r="I215" s="59"/>
      <c r="J215" s="59"/>
    </row>
    <row r="216" spans="1:10" ht="15.75" customHeight="1">
      <c r="A216" s="59"/>
      <c r="B216" s="59"/>
      <c r="C216" s="59"/>
      <c r="D216" s="59"/>
      <c r="E216" s="59"/>
      <c r="F216" s="59"/>
      <c r="G216" s="59"/>
      <c r="H216" s="59"/>
      <c r="I216" s="59"/>
      <c r="J216" s="59"/>
    </row>
    <row r="217" spans="1:10" ht="15.75" customHeight="1">
      <c r="A217" s="59"/>
      <c r="B217" s="59"/>
      <c r="C217" s="59"/>
      <c r="D217" s="59"/>
      <c r="E217" s="59"/>
      <c r="F217" s="59"/>
      <c r="G217" s="59"/>
      <c r="H217" s="59"/>
      <c r="I217" s="59"/>
      <c r="J217" s="59"/>
    </row>
    <row r="218" spans="1:10" ht="15.75" customHeight="1">
      <c r="A218" s="59"/>
      <c r="B218" s="59"/>
      <c r="C218" s="59"/>
      <c r="D218" s="59"/>
      <c r="E218" s="59"/>
      <c r="F218" s="59"/>
      <c r="G218" s="59"/>
      <c r="H218" s="59"/>
      <c r="I218" s="59"/>
      <c r="J218" s="59"/>
    </row>
    <row r="219" spans="1:10" ht="15.75" customHeight="1">
      <c r="A219" s="59"/>
      <c r="B219" s="59"/>
      <c r="C219" s="59"/>
      <c r="D219" s="59"/>
      <c r="E219" s="59"/>
      <c r="F219" s="59"/>
      <c r="G219" s="59"/>
      <c r="H219" s="59"/>
      <c r="I219" s="59"/>
      <c r="J219" s="59"/>
    </row>
    <row r="220" spans="1:10" ht="15.75" customHeight="1">
      <c r="A220" s="59"/>
      <c r="B220" s="59"/>
      <c r="C220" s="59"/>
      <c r="D220" s="59"/>
      <c r="E220" s="59"/>
      <c r="F220" s="59"/>
      <c r="G220" s="59"/>
      <c r="H220" s="59"/>
      <c r="I220" s="59"/>
      <c r="J220" s="59"/>
    </row>
    <row r="221" spans="1:10" ht="15.75" customHeight="1">
      <c r="A221" s="59"/>
      <c r="B221" s="59"/>
      <c r="C221" s="59"/>
      <c r="D221" s="59"/>
      <c r="E221" s="59"/>
      <c r="F221" s="59"/>
      <c r="G221" s="59"/>
      <c r="H221" s="59"/>
      <c r="I221" s="59"/>
      <c r="J221" s="59"/>
    </row>
    <row r="222" spans="1:10" ht="15.75" customHeight="1">
      <c r="A222" s="59"/>
      <c r="B222" s="59"/>
      <c r="C222" s="59"/>
      <c r="D222" s="59"/>
      <c r="E222" s="59"/>
      <c r="F222" s="59"/>
      <c r="G222" s="59"/>
      <c r="H222" s="59"/>
      <c r="I222" s="59"/>
      <c r="J222" s="59"/>
    </row>
    <row r="223" spans="1:10" ht="15.75" customHeight="1">
      <c r="A223" s="59"/>
      <c r="B223" s="59"/>
      <c r="C223" s="59"/>
      <c r="D223" s="59"/>
      <c r="E223" s="59"/>
      <c r="F223" s="59"/>
      <c r="G223" s="59"/>
      <c r="H223" s="59"/>
      <c r="I223" s="59"/>
      <c r="J223" s="59"/>
    </row>
    <row r="224" spans="1:10" ht="15.75" customHeight="1">
      <c r="A224" s="59"/>
      <c r="B224" s="59"/>
      <c r="C224" s="59"/>
      <c r="D224" s="59"/>
      <c r="E224" s="59"/>
      <c r="F224" s="59"/>
      <c r="G224" s="59"/>
      <c r="H224" s="59"/>
      <c r="I224" s="59"/>
      <c r="J224" s="59"/>
    </row>
    <row r="225" spans="1:10" ht="15.75" customHeight="1">
      <c r="A225" s="59"/>
      <c r="B225" s="59"/>
      <c r="C225" s="59"/>
      <c r="D225" s="59"/>
      <c r="E225" s="59"/>
      <c r="F225" s="59"/>
      <c r="G225" s="59"/>
      <c r="H225" s="59"/>
      <c r="I225" s="59"/>
      <c r="J225" s="59"/>
    </row>
    <row r="226" spans="1:10" ht="15.75" customHeight="1">
      <c r="A226" s="59"/>
      <c r="B226" s="59"/>
      <c r="C226" s="59"/>
      <c r="D226" s="59"/>
      <c r="E226" s="59"/>
      <c r="F226" s="59"/>
      <c r="G226" s="59"/>
      <c r="H226" s="59"/>
      <c r="I226" s="59"/>
      <c r="J226" s="59"/>
    </row>
    <row r="227" spans="1:10" ht="15.75" customHeight="1">
      <c r="A227" s="59"/>
      <c r="B227" s="59"/>
      <c r="C227" s="59"/>
      <c r="D227" s="59"/>
      <c r="E227" s="59"/>
      <c r="F227" s="59"/>
      <c r="G227" s="59"/>
      <c r="H227" s="59"/>
      <c r="I227" s="59"/>
      <c r="J227" s="59"/>
    </row>
    <row r="228" spans="1:10" ht="15.75" customHeight="1">
      <c r="A228" s="59"/>
      <c r="B228" s="59"/>
      <c r="C228" s="59"/>
      <c r="D228" s="59"/>
      <c r="E228" s="59"/>
      <c r="F228" s="59"/>
      <c r="G228" s="59"/>
      <c r="H228" s="59"/>
      <c r="I228" s="59"/>
      <c r="J228" s="59"/>
    </row>
    <row r="229" spans="1:10" ht="15.75" customHeight="1">
      <c r="A229" s="59"/>
      <c r="B229" s="59"/>
      <c r="C229" s="59"/>
      <c r="D229" s="59"/>
      <c r="E229" s="59"/>
      <c r="F229" s="59"/>
      <c r="G229" s="59"/>
      <c r="H229" s="59"/>
      <c r="I229" s="59"/>
      <c r="J229" s="59"/>
    </row>
    <row r="230" spans="1:10" ht="15.75" customHeight="1">
      <c r="A230" s="59"/>
      <c r="B230" s="59"/>
      <c r="C230" s="59"/>
      <c r="D230" s="59"/>
      <c r="E230" s="59"/>
      <c r="F230" s="59"/>
      <c r="G230" s="59"/>
      <c r="H230" s="59"/>
      <c r="I230" s="59"/>
      <c r="J230" s="59"/>
    </row>
    <row r="231" spans="1:10" ht="15.75" customHeight="1">
      <c r="A231" s="59"/>
      <c r="B231" s="59"/>
      <c r="C231" s="59"/>
      <c r="D231" s="59"/>
      <c r="E231" s="59"/>
      <c r="F231" s="59"/>
      <c r="G231" s="59"/>
      <c r="H231" s="59"/>
      <c r="I231" s="59"/>
      <c r="J231" s="59"/>
    </row>
    <row r="232" spans="1:10" ht="15.75" customHeight="1">
      <c r="A232" s="59"/>
      <c r="B232" s="59"/>
      <c r="C232" s="59"/>
      <c r="D232" s="59"/>
      <c r="E232" s="59"/>
      <c r="F232" s="59"/>
      <c r="G232" s="59"/>
      <c r="H232" s="59"/>
      <c r="I232" s="59"/>
      <c r="J232" s="59"/>
    </row>
    <row r="233" spans="1:10" ht="15.75" customHeight="1">
      <c r="A233" s="59"/>
      <c r="B233" s="59"/>
      <c r="C233" s="59"/>
      <c r="D233" s="59"/>
      <c r="E233" s="59"/>
      <c r="F233" s="59"/>
      <c r="G233" s="59"/>
      <c r="H233" s="59"/>
      <c r="I233" s="59"/>
      <c r="J233" s="59"/>
    </row>
    <row r="234" spans="1:10" ht="15.75" customHeight="1">
      <c r="A234" s="59"/>
      <c r="B234" s="59"/>
      <c r="C234" s="59"/>
      <c r="D234" s="59"/>
      <c r="E234" s="59"/>
      <c r="F234" s="59"/>
      <c r="G234" s="59"/>
      <c r="H234" s="59"/>
      <c r="I234" s="59"/>
      <c r="J234" s="59"/>
    </row>
    <row r="235" spans="1:10" ht="15.75" customHeight="1">
      <c r="A235" s="59"/>
      <c r="B235" s="59"/>
      <c r="C235" s="59"/>
      <c r="D235" s="59"/>
      <c r="E235" s="59"/>
      <c r="F235" s="59"/>
      <c r="G235" s="59"/>
      <c r="H235" s="59"/>
      <c r="I235" s="59"/>
      <c r="J235" s="59"/>
    </row>
    <row r="236" spans="1:10" ht="15.75" customHeight="1">
      <c r="A236" s="59"/>
      <c r="B236" s="59"/>
      <c r="C236" s="59"/>
      <c r="D236" s="59"/>
      <c r="E236" s="59"/>
      <c r="F236" s="59"/>
      <c r="G236" s="59"/>
      <c r="H236" s="59"/>
      <c r="I236" s="59"/>
      <c r="J236" s="59"/>
    </row>
    <row r="237" spans="1:10" ht="15.75" customHeight="1">
      <c r="A237" s="59"/>
      <c r="B237" s="59"/>
      <c r="C237" s="59"/>
      <c r="D237" s="59"/>
      <c r="E237" s="59"/>
      <c r="F237" s="59"/>
      <c r="G237" s="59"/>
      <c r="H237" s="59"/>
      <c r="I237" s="59"/>
      <c r="J237" s="59"/>
    </row>
    <row r="238" spans="1:10" ht="15.75" customHeight="1">
      <c r="A238" s="59"/>
      <c r="B238" s="59"/>
      <c r="C238" s="59"/>
      <c r="D238" s="59"/>
      <c r="E238" s="59"/>
      <c r="F238" s="59"/>
      <c r="G238" s="59"/>
      <c r="H238" s="59"/>
      <c r="I238" s="59"/>
      <c r="J238" s="59"/>
    </row>
    <row r="239" spans="1:10" ht="15.75" customHeight="1">
      <c r="A239" s="59"/>
      <c r="B239" s="59"/>
      <c r="C239" s="59"/>
      <c r="D239" s="59"/>
      <c r="E239" s="59"/>
      <c r="F239" s="59"/>
      <c r="G239" s="59"/>
      <c r="H239" s="59"/>
      <c r="I239" s="59"/>
      <c r="J239" s="59"/>
    </row>
    <row r="240" spans="1:10" ht="15.75" customHeight="1">
      <c r="A240" s="59"/>
      <c r="B240" s="59"/>
      <c r="C240" s="59"/>
      <c r="D240" s="59"/>
      <c r="E240" s="59"/>
      <c r="F240" s="59"/>
      <c r="G240" s="59"/>
      <c r="H240" s="59"/>
      <c r="I240" s="59"/>
      <c r="J240" s="59"/>
    </row>
    <row r="241" spans="1:10" ht="15.75" customHeight="1">
      <c r="A241" s="59"/>
      <c r="B241" s="59"/>
      <c r="C241" s="59"/>
      <c r="D241" s="59"/>
      <c r="E241" s="59"/>
      <c r="F241" s="59"/>
      <c r="G241" s="59"/>
      <c r="H241" s="59"/>
      <c r="I241" s="59"/>
      <c r="J241" s="59"/>
    </row>
    <row r="242" spans="1:10" ht="15.75" customHeight="1">
      <c r="A242" s="59"/>
      <c r="B242" s="59"/>
      <c r="C242" s="59"/>
      <c r="D242" s="59"/>
      <c r="E242" s="59"/>
      <c r="F242" s="59"/>
      <c r="G242" s="59"/>
      <c r="H242" s="59"/>
      <c r="I242" s="59"/>
      <c r="J242" s="59"/>
    </row>
    <row r="243" spans="1:10" ht="15.75" customHeight="1">
      <c r="A243" s="59"/>
      <c r="B243" s="59"/>
      <c r="C243" s="59"/>
      <c r="D243" s="59"/>
      <c r="E243" s="59"/>
      <c r="F243" s="59"/>
      <c r="G243" s="59"/>
      <c r="H243" s="59"/>
      <c r="I243" s="59"/>
      <c r="J243" s="59"/>
    </row>
    <row r="244" spans="1:10" ht="15.75" customHeight="1">
      <c r="A244" s="59"/>
      <c r="B244" s="59"/>
      <c r="C244" s="59"/>
      <c r="D244" s="59"/>
      <c r="E244" s="59"/>
      <c r="F244" s="59"/>
      <c r="G244" s="59"/>
      <c r="H244" s="59"/>
      <c r="I244" s="59"/>
      <c r="J244" s="59"/>
    </row>
    <row r="245" spans="1:10" ht="15.75" customHeight="1">
      <c r="A245" s="59"/>
      <c r="B245" s="59"/>
      <c r="C245" s="59"/>
      <c r="D245" s="59"/>
      <c r="E245" s="59"/>
      <c r="F245" s="59"/>
      <c r="G245" s="59"/>
      <c r="H245" s="59"/>
      <c r="I245" s="59"/>
      <c r="J245" s="59"/>
    </row>
    <row r="246" spans="1:10" ht="15.75" customHeight="1">
      <c r="A246" s="59"/>
      <c r="B246" s="59"/>
      <c r="C246" s="59"/>
      <c r="D246" s="59"/>
      <c r="E246" s="59"/>
      <c r="F246" s="59"/>
      <c r="G246" s="59"/>
      <c r="H246" s="59"/>
      <c r="I246" s="59"/>
      <c r="J246" s="59"/>
    </row>
    <row r="247" spans="1:10" ht="15.75" customHeight="1">
      <c r="A247" s="59"/>
      <c r="B247" s="59"/>
      <c r="C247" s="59"/>
      <c r="D247" s="59"/>
      <c r="E247" s="59"/>
      <c r="F247" s="59"/>
      <c r="G247" s="59"/>
      <c r="H247" s="59"/>
      <c r="I247" s="59"/>
      <c r="J247" s="59"/>
    </row>
    <row r="248" spans="1:10" ht="15.75" customHeight="1">
      <c r="A248" s="59"/>
      <c r="B248" s="59"/>
      <c r="C248" s="59"/>
      <c r="D248" s="59"/>
      <c r="E248" s="59"/>
      <c r="F248" s="59"/>
      <c r="G248" s="59"/>
      <c r="H248" s="59"/>
      <c r="I248" s="59"/>
      <c r="J248" s="59"/>
    </row>
    <row r="249" spans="1:10" ht="15.75" customHeight="1">
      <c r="A249" s="59"/>
      <c r="B249" s="59"/>
      <c r="C249" s="59"/>
      <c r="D249" s="59"/>
      <c r="E249" s="59"/>
      <c r="F249" s="59"/>
      <c r="G249" s="59"/>
      <c r="H249" s="59"/>
      <c r="I249" s="59"/>
      <c r="J249" s="59"/>
    </row>
    <row r="250" spans="1:10" ht="15.75" customHeight="1">
      <c r="A250" s="59"/>
      <c r="B250" s="59"/>
      <c r="C250" s="59"/>
      <c r="D250" s="59"/>
      <c r="E250" s="59"/>
      <c r="F250" s="59"/>
      <c r="G250" s="59"/>
      <c r="H250" s="59"/>
      <c r="I250" s="59"/>
      <c r="J250" s="59"/>
    </row>
    <row r="251" spans="1:10" ht="15.75" customHeight="1">
      <c r="A251" s="59"/>
      <c r="B251" s="59"/>
      <c r="C251" s="59"/>
      <c r="D251" s="59"/>
      <c r="E251" s="59"/>
      <c r="F251" s="59"/>
      <c r="G251" s="59"/>
      <c r="H251" s="59"/>
      <c r="I251" s="59"/>
      <c r="J251" s="59"/>
    </row>
    <row r="252" spans="1:10" ht="15.75" customHeight="1">
      <c r="A252" s="59"/>
      <c r="B252" s="59"/>
      <c r="C252" s="59"/>
      <c r="D252" s="59"/>
      <c r="E252" s="59"/>
      <c r="F252" s="59"/>
      <c r="G252" s="59"/>
      <c r="H252" s="59"/>
      <c r="I252" s="59"/>
      <c r="J252" s="59"/>
    </row>
    <row r="253" spans="1:10" ht="15.75" customHeight="1">
      <c r="A253" s="59"/>
      <c r="B253" s="59"/>
      <c r="C253" s="59"/>
      <c r="D253" s="59"/>
      <c r="E253" s="59"/>
      <c r="F253" s="59"/>
      <c r="G253" s="59"/>
      <c r="H253" s="59"/>
      <c r="I253" s="59"/>
      <c r="J253" s="59"/>
    </row>
    <row r="254" spans="1:10" ht="15.75" customHeight="1">
      <c r="A254" s="59"/>
      <c r="B254" s="59"/>
      <c r="C254" s="59"/>
      <c r="D254" s="59"/>
      <c r="E254" s="59"/>
      <c r="F254" s="59"/>
      <c r="G254" s="59"/>
      <c r="H254" s="59"/>
      <c r="I254" s="59"/>
      <c r="J254" s="59"/>
    </row>
    <row r="255" spans="1:10" ht="15.75" customHeight="1">
      <c r="A255" s="59"/>
      <c r="B255" s="59"/>
      <c r="C255" s="59"/>
      <c r="D255" s="59"/>
      <c r="E255" s="59"/>
      <c r="F255" s="59"/>
      <c r="G255" s="59"/>
      <c r="H255" s="59"/>
      <c r="I255" s="59"/>
      <c r="J255" s="59"/>
    </row>
    <row r="256" spans="1:10" ht="15.75" customHeight="1">
      <c r="A256" s="59"/>
      <c r="B256" s="59"/>
      <c r="C256" s="59"/>
      <c r="D256" s="59"/>
      <c r="E256" s="59"/>
      <c r="F256" s="59"/>
      <c r="G256" s="59"/>
      <c r="H256" s="59"/>
      <c r="I256" s="59"/>
      <c r="J256" s="59"/>
    </row>
    <row r="257" spans="1:10" ht="15.75" customHeight="1">
      <c r="A257" s="59"/>
      <c r="B257" s="59"/>
      <c r="C257" s="59"/>
      <c r="D257" s="59"/>
      <c r="E257" s="59"/>
      <c r="F257" s="59"/>
      <c r="G257" s="59"/>
      <c r="H257" s="59"/>
      <c r="I257" s="59"/>
      <c r="J257" s="59"/>
    </row>
    <row r="258" spans="1:10" ht="15.75" customHeight="1">
      <c r="A258" s="59"/>
      <c r="B258" s="59"/>
      <c r="C258" s="59"/>
      <c r="D258" s="59"/>
      <c r="E258" s="59"/>
      <c r="F258" s="59"/>
      <c r="G258" s="59"/>
      <c r="H258" s="59"/>
      <c r="I258" s="59"/>
      <c r="J258" s="59"/>
    </row>
    <row r="259" spans="1:10" ht="15.75" customHeight="1">
      <c r="A259" s="59"/>
      <c r="B259" s="59"/>
      <c r="C259" s="59"/>
      <c r="D259" s="59"/>
      <c r="E259" s="59"/>
      <c r="F259" s="59"/>
      <c r="G259" s="59"/>
      <c r="H259" s="59"/>
      <c r="I259" s="59"/>
      <c r="J259" s="59"/>
    </row>
    <row r="260" spans="1:10" ht="15.75" customHeight="1">
      <c r="A260" s="59"/>
      <c r="B260" s="59"/>
      <c r="C260" s="59"/>
      <c r="D260" s="59"/>
      <c r="E260" s="59"/>
      <c r="F260" s="59"/>
      <c r="G260" s="59"/>
      <c r="H260" s="59"/>
      <c r="I260" s="59"/>
      <c r="J260" s="59"/>
    </row>
    <row r="261" spans="1:10" ht="15.75" customHeight="1"/>
    <row r="262" spans="1:10" ht="15.75" customHeight="1"/>
    <row r="263" spans="1:10" ht="15.75" customHeight="1"/>
    <row r="264" spans="1:10" ht="15.75" customHeight="1"/>
    <row r="265" spans="1:10" ht="15.75" customHeight="1"/>
    <row r="266" spans="1:10" ht="15.75" customHeight="1"/>
    <row r="267" spans="1:10" ht="15.75" customHeight="1"/>
    <row r="268" spans="1:10" ht="15.75" customHeight="1"/>
    <row r="269" spans="1:10" ht="15.75" customHeight="1"/>
    <row r="270" spans="1:10" ht="15.75" customHeight="1"/>
    <row r="271" spans="1:10" ht="15.75" customHeight="1"/>
    <row r="272" spans="1:1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D17:E17"/>
    <mergeCell ref="G17:H17"/>
    <mergeCell ref="B7:I7"/>
    <mergeCell ref="B9:I9"/>
    <mergeCell ref="B10:I10"/>
    <mergeCell ref="B11:I11"/>
    <mergeCell ref="B13:I13"/>
    <mergeCell ref="B15:I15"/>
    <mergeCell ref="B17:C17"/>
    <mergeCell ref="B18:C18"/>
    <mergeCell ref="D18:E18"/>
    <mergeCell ref="G18:H18"/>
    <mergeCell ref="B19:C19"/>
    <mergeCell ref="D19:E19"/>
    <mergeCell ref="B21:I21"/>
    <mergeCell ref="B23:B27"/>
    <mergeCell ref="G28:I28"/>
    <mergeCell ref="B30:I30"/>
    <mergeCell ref="B31:I31"/>
    <mergeCell ref="B33:I33"/>
    <mergeCell ref="B35:E35"/>
    <mergeCell ref="G35:I35"/>
    <mergeCell ref="B36:C36"/>
    <mergeCell ref="B44:E44"/>
    <mergeCell ref="B59:I59"/>
    <mergeCell ref="D36:E36"/>
    <mergeCell ref="G36:H36"/>
    <mergeCell ref="G37:H37"/>
    <mergeCell ref="G38:H38"/>
    <mergeCell ref="G39:H39"/>
    <mergeCell ref="G40:H40"/>
    <mergeCell ref="G44:I44"/>
    <mergeCell ref="B45:D48"/>
    <mergeCell ref="E45:E48"/>
    <mergeCell ref="B50:D50"/>
    <mergeCell ref="G45:I46"/>
    <mergeCell ref="H47:I47"/>
    <mergeCell ref="H48:I48"/>
    <mergeCell ref="F50:I50"/>
  </mergeCells>
  <dataValidations count="16">
    <dataValidation type="decimal" operator="greaterThan" allowBlank="1" showInputMessage="1" showErrorMessage="1" prompt="Orden contractual  - Es el número de la orden contractual sin la vigencia ejemplo:  23" sqref="E23:E27" xr:uid="{00000000-0002-0000-0100-000000000000}">
      <formula1>0</formula1>
    </dataValidation>
    <dataValidation type="date" operator="greaterThanOrEqual" allowBlank="1" showInputMessage="1" showErrorMessage="1" prompt="Periodo - Registrar el periodo en formato MM/YYYY" sqref="C41:C42" xr:uid="{00000000-0002-0000-0100-000001000000}">
      <formula1>44562</formula1>
    </dataValidation>
    <dataValidation type="decimal" operator="greaterThan" allowBlank="1" showInputMessage="1" showErrorMessage="1" prompt="Debe registrar el valor total de la orden,  si su orden tiene IVA debe registrar el valor sin inlcuir el IVA" sqref="F23:F27" xr:uid="{00000000-0002-0000-0100-000002000000}">
      <formula1>1</formula1>
    </dataValidation>
    <dataValidation type="decimal" operator="greaterThan" allowBlank="1" showInputMessage="1" showErrorMessage="1" prompt="Empresa Quipu  - Es el codigo de la empresa por la cual se encuentra registrada su orden, este dato lo puede obtener del Formato: Comunicación de legalización de orden contractual o contrato &quot;Empresa(Código_x000a_QUIPU)&quot;" sqref="C23:C27" xr:uid="{00000000-0002-0000-0100-000004000000}">
      <formula1>1000</formula1>
    </dataValidation>
    <dataValidation type="date" allowBlank="1" showInputMessage="1" showErrorMessage="1" prompt="Fecha - Diligenciar la fecha en formato dd/mm/aaaa" sqref="G23:H27" xr:uid="{00000000-0002-0000-0100-000005000000}">
      <formula1>44562</formula1>
      <formula2>47848</formula2>
    </dataValidation>
    <dataValidation type="list" allowBlank="1" showInputMessage="1" showErrorMessage="1" prompt="Aportes voluntarios a pension - Certificado correspondiente al año gravable anterior." sqref="E39" xr:uid="{00000000-0002-0000-0100-000006000000}">
      <formula1>"SI,NO"</formula1>
    </dataValidation>
    <dataValidation type="list" allowBlank="1" showInputMessage="1" showErrorMessage="1" prompt="Intereses prestamos de vivienda  - Certificado correspondiente al año gravable anterior." sqref="C38" xr:uid="{00000000-0002-0000-0100-000008000000}">
      <formula1>"SI,NO"</formula1>
    </dataValidation>
    <dataValidation type="list" allowBlank="1" showInputMessage="1" showErrorMessage="1" prompt="Poliza de Salud - Vigente al mes para el cual el contratista está cobrando el servicio de la orden contractual)" sqref="E37" xr:uid="{00000000-0002-0000-0100-000009000000}">
      <formula1>"SI,NO"</formula1>
    </dataValidation>
    <dataValidation type="date" operator="greaterThan" allowBlank="1" showInputMessage="1" showErrorMessage="1" prompt="Fecha de certificación - Corresponde a la fecha en la que que se diligencia este documento. Debe estar en formato dd/mm/aaaa_x000a__x000a_Se sugiere que sea la misma fecha de radicación para pago." sqref="I17" xr:uid="{00000000-0002-0000-0100-00000A000000}">
      <formula1>46023</formula1>
    </dataValidation>
    <dataValidation type="custom" allowBlank="1" showInputMessage="1" prompt="Correo Institucional - Debe registrar su correo instutucional, inlcuyendo el @unal.edu.co_x000a_Si no tienen un correo institucional por favor dejar en blanco  " sqref="D19" xr:uid="{00000000-0002-0000-0100-00000B000000}">
      <formula1>AND(D19&lt;&gt;"",ISNUMBER(SEARCH("@",D19)),ISNUMBER(SEARCH(".",D19)),SEARCH("@",D19)&lt;SEARCH(".",D19))</formula1>
    </dataValidation>
    <dataValidation type="list" allowBlank="1" showInputMessage="1" showErrorMessage="1" prompt="Tipo Orden contractual  - Es la tipología de la orden contractual. _x000a_Ejemplo: OPS" sqref="D23:D27" xr:uid="{00000000-0002-0000-0100-00000C000000}">
      <formula1>"OPS,OSE,OCO,OFS,OSF,OEF,OFO,ODO,OOF,RAG,RVF,RCO,RPS,RVE"</formula1>
    </dataValidation>
    <dataValidation type="list" allowBlank="1" showInputMessage="1" showErrorMessage="1" prompt="Deducción seguridad social  - Solo puede seleccionar SI , si el periodo del pago y el periodo de la planilla son el mismo." sqref="E45" xr:uid="{00000000-0002-0000-0100-00000D000000}">
      <formula1>ListaCondicional</formula1>
    </dataValidation>
    <dataValidation type="list" allowBlank="1" showInputMessage="1" showErrorMessage="1" prompt="Dependientes - Debe anexar el formato U.FT.12.010.077 Declaración para la deducción de pagos por dependientes  (máximo 4) - con anexos " sqref="C37" xr:uid="{00000000-0002-0000-0100-00000E000000}">
      <formula1>"SI,NO"</formula1>
    </dataValidation>
    <dataValidation type="list" allowBlank="1" showInputMessage="1" showErrorMessage="1" prompt="Medicina prepagada - Correspondiente al comprobante de mes para el cual el contratista está cobrando el servicio de la orden contractual_x000a_" sqref="E38" xr:uid="{00000000-0002-0000-0100-00000F000000}">
      <formula1>"SI,NO"</formula1>
    </dataValidation>
    <dataValidation type="list" allowBlank="1" showInputMessage="1" showErrorMessage="1" promptTitle="Pensionado (Soportar)" prompt="Seleccione “SI&quot; únicamente si aplica al menos una de estas condiciones:_x000a_1. Ya cuenta con pensión reconocida._x000a_2. Cumple las semanas cotizadas exigidas para pensionarse._x000a_3.Obtuvo devolución de saldos o indemnización sustitutiva, según corr" sqref="I18" xr:uid="{00000000-0002-0000-0100-000010000000}">
      <formula1>"SI,NO"</formula1>
    </dataValidation>
    <dataValidation type="list" allowBlank="1" showInputMessage="1" showErrorMessage="1" prompt="AFC  - Certificado oficial expedido por el Banco o entidad financiera correspondiente al año gravable anterior._x000a_" sqref="C39" xr:uid="{00000000-0002-0000-0100-000011000000}">
      <formula1>"SI,NO"</formula1>
    </dataValidation>
  </dataValidations>
  <printOptions horizontalCentered="1"/>
  <pageMargins left="0.25" right="0.25" top="0.28000000000000003" bottom="0.3" header="0" footer="0"/>
  <pageSetup scale="26"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Contrato Deducciones - Seleccione solo el contrato del cual va a solicitar el pago de los registrados en la seccion 2  y al cual le va a aplicar las deducciones" xr:uid="{00000000-0002-0000-0100-000003000000}">
          <x14:formula1>
            <xm:f>Datos!$B$11:$B$15</xm:f>
          </x14:formula1>
          <xm:sqref>D36</xm:sqref>
        </x14:dataValidation>
        <x14:dataValidation type="list" allowBlank="1" showInputMessage="1" showErrorMessage="1" promptTitle="Tipo de Riesgo" prompt="Seleccione el tipo de riesgo laboral de acuerdo al certificado de afiliación de la orden que relaciona._x000a__x000a_Recuerde que: _x000a_1) Si es riesgo 1 a 3 debe realizar el pago en su planilla de seguridad social._x000a_2) Si es riesgo 4 o 5 el pago l" xr:uid="{00000000-0002-0000-0100-000007000000}">
          <x14:formula1>
            <xm:f>Datos!$D$3:$D$7</xm:f>
          </x14:formula1>
          <xm:sqref>I23:I27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6640625" defaultRowHeight="15" customHeight="1"/>
  <cols>
    <col min="1" max="1" width="17.33203125" customWidth="1"/>
    <col min="2" max="2" width="25" customWidth="1"/>
    <col min="3" max="3" width="23.33203125" customWidth="1"/>
    <col min="4" max="4" width="29.6640625" customWidth="1"/>
    <col min="5" max="5" width="22.33203125" customWidth="1"/>
    <col min="6" max="6" width="17.83203125" customWidth="1"/>
    <col min="7" max="7" width="19.33203125" customWidth="1"/>
    <col min="8" max="8" width="21.6640625" customWidth="1"/>
    <col min="9" max="9" width="19.6640625" customWidth="1"/>
    <col min="10" max="10" width="15.1640625" customWidth="1"/>
    <col min="11" max="11" width="17.33203125" customWidth="1"/>
    <col min="12" max="12" width="11.33203125" customWidth="1"/>
    <col min="13" max="26" width="10.6640625" customWidth="1"/>
  </cols>
  <sheetData>
    <row r="1" spans="1:26" ht="12.75" customHeight="1">
      <c r="A1" s="1"/>
      <c r="B1" s="1"/>
      <c r="C1" s="1"/>
      <c r="D1" s="201" t="s">
        <v>106</v>
      </c>
      <c r="E1" s="190"/>
      <c r="F1" s="1"/>
      <c r="G1" s="201" t="s">
        <v>107</v>
      </c>
      <c r="H1" s="190"/>
      <c r="I1" s="190"/>
      <c r="J1" s="1"/>
      <c r="K1" s="127" t="s">
        <v>108</v>
      </c>
      <c r="L1" s="1"/>
      <c r="M1" s="1"/>
      <c r="N1" s="1"/>
      <c r="O1" s="1"/>
      <c r="P1" s="1"/>
      <c r="Q1" s="1"/>
      <c r="R1" s="1"/>
      <c r="S1" s="1"/>
      <c r="T1" s="1"/>
      <c r="U1" s="1"/>
      <c r="V1" s="1"/>
      <c r="W1" s="1"/>
      <c r="X1" s="1"/>
      <c r="Y1" s="1"/>
      <c r="Z1" s="1"/>
    </row>
    <row r="2" spans="1:26" ht="12.75" customHeight="1">
      <c r="A2" s="128" t="s">
        <v>109</v>
      </c>
      <c r="B2" s="127">
        <v>2026</v>
      </c>
      <c r="C2" s="1"/>
      <c r="D2" s="129" t="s">
        <v>110</v>
      </c>
      <c r="E2" s="130" t="s">
        <v>111</v>
      </c>
      <c r="F2" s="1"/>
      <c r="G2" s="131" t="s">
        <v>112</v>
      </c>
      <c r="H2" s="132" t="s">
        <v>113</v>
      </c>
      <c r="I2" s="133" t="s">
        <v>111</v>
      </c>
      <c r="J2" s="1"/>
      <c r="K2" s="134" t="s">
        <v>92</v>
      </c>
      <c r="L2" s="1"/>
      <c r="M2" s="1"/>
      <c r="N2" s="1"/>
      <c r="O2" s="1"/>
      <c r="P2" s="1"/>
      <c r="Q2" s="1"/>
      <c r="R2" s="1"/>
      <c r="S2" s="1"/>
      <c r="T2" s="1"/>
      <c r="U2" s="1"/>
      <c r="V2" s="1"/>
      <c r="W2" s="1"/>
      <c r="X2" s="1"/>
      <c r="Y2" s="1"/>
      <c r="Z2" s="1"/>
    </row>
    <row r="3" spans="1:26" ht="12.75" customHeight="1">
      <c r="A3" s="128" t="s">
        <v>114</v>
      </c>
      <c r="B3" s="135">
        <v>1750905</v>
      </c>
      <c r="C3" s="136"/>
      <c r="D3" s="137" t="s">
        <v>80</v>
      </c>
      <c r="E3" s="138">
        <v>5.2199999999999998E-3</v>
      </c>
      <c r="F3" s="1"/>
      <c r="G3" s="139">
        <v>4</v>
      </c>
      <c r="H3" s="140">
        <v>16</v>
      </c>
      <c r="I3" s="141">
        <v>0.01</v>
      </c>
      <c r="J3" s="1"/>
      <c r="K3" s="134" t="s">
        <v>115</v>
      </c>
      <c r="L3" s="1"/>
      <c r="M3" s="1"/>
      <c r="N3" s="1"/>
      <c r="O3" s="1"/>
      <c r="P3" s="1"/>
      <c r="Q3" s="1"/>
      <c r="R3" s="1"/>
      <c r="S3" s="1"/>
      <c r="T3" s="1"/>
      <c r="U3" s="1"/>
      <c r="V3" s="1"/>
      <c r="W3" s="1"/>
      <c r="X3" s="1"/>
      <c r="Y3" s="1"/>
      <c r="Z3" s="1"/>
    </row>
    <row r="4" spans="1:26" ht="12.75" customHeight="1">
      <c r="A4" s="128" t="s">
        <v>116</v>
      </c>
      <c r="B4" s="135">
        <v>52374</v>
      </c>
      <c r="C4" s="1"/>
      <c r="D4" s="137" t="s">
        <v>117</v>
      </c>
      <c r="E4" s="138">
        <v>1.044E-2</v>
      </c>
      <c r="F4" s="1"/>
      <c r="G4" s="139">
        <v>16</v>
      </c>
      <c r="H4" s="140">
        <v>17</v>
      </c>
      <c r="I4" s="142">
        <v>1.2E-2</v>
      </c>
      <c r="J4" s="1"/>
      <c r="K4" s="1"/>
      <c r="L4" s="1"/>
      <c r="M4" s="1"/>
      <c r="N4" s="1"/>
      <c r="O4" s="1"/>
      <c r="P4" s="1"/>
      <c r="Q4" s="1"/>
      <c r="R4" s="1"/>
      <c r="S4" s="1"/>
      <c r="T4" s="1"/>
      <c r="U4" s="1"/>
      <c r="V4" s="1"/>
      <c r="W4" s="1"/>
      <c r="X4" s="1"/>
      <c r="Y4" s="1"/>
      <c r="Z4" s="1"/>
    </row>
    <row r="5" spans="1:26" ht="12.75" customHeight="1">
      <c r="A5" s="128" t="s">
        <v>118</v>
      </c>
      <c r="B5" s="143">
        <v>0.4</v>
      </c>
      <c r="C5" s="1"/>
      <c r="D5" s="137" t="s">
        <v>119</v>
      </c>
      <c r="E5" s="138">
        <v>2.436E-2</v>
      </c>
      <c r="F5" s="1"/>
      <c r="G5" s="139">
        <v>17</v>
      </c>
      <c r="H5" s="140">
        <v>18</v>
      </c>
      <c r="I5" s="142">
        <v>1.4E-2</v>
      </c>
      <c r="J5" s="1"/>
      <c r="K5" s="1"/>
      <c r="L5" s="1"/>
      <c r="M5" s="1"/>
      <c r="N5" s="1"/>
      <c r="O5" s="1"/>
      <c r="P5" s="1"/>
      <c r="Q5" s="1"/>
      <c r="R5" s="1"/>
      <c r="S5" s="1"/>
      <c r="T5" s="1"/>
      <c r="U5" s="1"/>
      <c r="V5" s="1"/>
      <c r="W5" s="1"/>
      <c r="X5" s="1"/>
      <c r="Y5" s="1"/>
      <c r="Z5" s="1"/>
    </row>
    <row r="6" spans="1:26" ht="12.75" customHeight="1">
      <c r="A6" s="128" t="s">
        <v>120</v>
      </c>
      <c r="B6" s="144">
        <v>0.125</v>
      </c>
      <c r="C6" s="136"/>
      <c r="D6" s="137" t="s">
        <v>121</v>
      </c>
      <c r="E6" s="138">
        <v>4.3499999999999997E-2</v>
      </c>
      <c r="F6" s="1"/>
      <c r="G6" s="139">
        <v>18</v>
      </c>
      <c r="H6" s="140">
        <v>19</v>
      </c>
      <c r="I6" s="142">
        <v>1.6E-2</v>
      </c>
      <c r="J6" s="1"/>
      <c r="K6" s="1"/>
      <c r="L6" s="1"/>
      <c r="M6" s="1"/>
      <c r="N6" s="1"/>
      <c r="O6" s="1"/>
      <c r="P6" s="1"/>
      <c r="Q6" s="1"/>
      <c r="R6" s="1"/>
      <c r="S6" s="1"/>
      <c r="T6" s="1"/>
      <c r="U6" s="1"/>
      <c r="V6" s="1"/>
      <c r="W6" s="1"/>
      <c r="X6" s="1"/>
      <c r="Y6" s="1"/>
      <c r="Z6" s="1"/>
    </row>
    <row r="7" spans="1:26" ht="12.75" customHeight="1">
      <c r="A7" s="128" t="s">
        <v>122</v>
      </c>
      <c r="B7" s="143">
        <v>0.16</v>
      </c>
      <c r="C7" s="1"/>
      <c r="D7" s="145" t="s">
        <v>123</v>
      </c>
      <c r="E7" s="146">
        <v>6.9599999999999995E-2</v>
      </c>
      <c r="F7" s="1"/>
      <c r="G7" s="139">
        <v>19</v>
      </c>
      <c r="H7" s="140">
        <v>20</v>
      </c>
      <c r="I7" s="142">
        <v>1.7999999999999999E-2</v>
      </c>
      <c r="J7" s="1"/>
      <c r="K7" s="1"/>
      <c r="L7" s="1"/>
      <c r="M7" s="1"/>
      <c r="N7" s="1"/>
      <c r="O7" s="1"/>
      <c r="P7" s="1"/>
      <c r="Q7" s="1"/>
      <c r="R7" s="1"/>
      <c r="S7" s="1"/>
      <c r="T7" s="1"/>
      <c r="U7" s="1"/>
      <c r="V7" s="1"/>
      <c r="W7" s="1"/>
      <c r="X7" s="1"/>
      <c r="Y7" s="1"/>
      <c r="Z7" s="1"/>
    </row>
    <row r="8" spans="1:26" ht="16.5" customHeight="1">
      <c r="A8" s="1"/>
      <c r="B8" s="1"/>
      <c r="C8" s="1"/>
      <c r="D8" s="1"/>
      <c r="E8" s="1"/>
      <c r="F8" s="1"/>
      <c r="G8" s="147">
        <v>20</v>
      </c>
      <c r="H8" s="148">
        <v>25</v>
      </c>
      <c r="I8" s="149">
        <v>0.02</v>
      </c>
      <c r="J8" s="1"/>
      <c r="K8" s="1"/>
      <c r="L8" s="1"/>
      <c r="M8" s="1"/>
      <c r="N8" s="1"/>
      <c r="O8" s="1"/>
      <c r="P8" s="1"/>
      <c r="Q8" s="1"/>
      <c r="R8" s="1"/>
      <c r="S8" s="1"/>
      <c r="T8" s="1"/>
      <c r="U8" s="1"/>
      <c r="V8" s="1"/>
      <c r="W8" s="1"/>
      <c r="X8" s="1"/>
      <c r="Y8" s="1"/>
      <c r="Z8" s="1"/>
    </row>
    <row r="9" spans="1:26" ht="16.5" customHeight="1">
      <c r="A9" s="1"/>
      <c r="B9" s="1"/>
      <c r="C9" s="1"/>
      <c r="D9" s="1"/>
      <c r="E9" s="1"/>
      <c r="F9" s="1"/>
      <c r="G9" s="1"/>
      <c r="H9" s="1"/>
      <c r="I9" s="1"/>
      <c r="J9" s="150"/>
      <c r="K9" s="1"/>
      <c r="L9" s="151"/>
      <c r="M9" s="1"/>
      <c r="N9" s="1"/>
      <c r="O9" s="1"/>
      <c r="P9" s="1"/>
      <c r="Q9" s="1"/>
      <c r="R9" s="1"/>
      <c r="S9" s="1"/>
      <c r="T9" s="1"/>
      <c r="U9" s="1"/>
      <c r="V9" s="1"/>
      <c r="W9" s="1"/>
      <c r="X9" s="1"/>
      <c r="Y9" s="1"/>
      <c r="Z9" s="1"/>
    </row>
    <row r="10" spans="1:26" ht="54.75" customHeight="1">
      <c r="A10" s="152" t="s">
        <v>124</v>
      </c>
      <c r="B10" s="153" t="s">
        <v>125</v>
      </c>
      <c r="C10" s="154" t="s">
        <v>126</v>
      </c>
      <c r="D10" s="154" t="s">
        <v>127</v>
      </c>
      <c r="E10" s="154" t="s">
        <v>128</v>
      </c>
      <c r="F10" s="154" t="s">
        <v>129</v>
      </c>
      <c r="G10" s="153" t="s">
        <v>130</v>
      </c>
      <c r="H10" s="153" t="s">
        <v>131</v>
      </c>
      <c r="I10" s="153" t="s">
        <v>132</v>
      </c>
      <c r="J10" s="153" t="s">
        <v>133</v>
      </c>
      <c r="K10" s="1"/>
      <c r="L10" s="1"/>
      <c r="M10" s="1"/>
      <c r="N10" s="1"/>
      <c r="O10" s="1"/>
      <c r="P10" s="1"/>
      <c r="Q10" s="1"/>
      <c r="R10" s="1"/>
      <c r="S10" s="1"/>
      <c r="T10" s="1"/>
      <c r="U10" s="1"/>
      <c r="V10" s="1"/>
      <c r="W10" s="1"/>
      <c r="X10" s="1"/>
      <c r="Y10" s="1"/>
      <c r="Z10" s="1"/>
    </row>
    <row r="11" spans="1:26" ht="18.75" customHeight="1">
      <c r="A11" s="155">
        <v>1</v>
      </c>
      <c r="B11" s="156" t="str">
        <f>IF(ISBLANK('Certificación Mensual'!E23),"",CONCATENATE('Certificación Mensual'!C23,"-",'Certificación Mensual'!D23,"-",'Certificación Mensual'!E23,"-",YEAR('Certificación Mensual'!G23)
))</f>
        <v/>
      </c>
      <c r="C11" s="157">
        <f>'Certificación Mensual'!B52</f>
        <v>0</v>
      </c>
      <c r="D11" s="157">
        <f t="shared" ref="D11:D15" si="0">C11*$B$5</f>
        <v>0</v>
      </c>
      <c r="E11" s="158">
        <f t="shared" ref="E11:E15" si="1">D11/$B$3</f>
        <v>0</v>
      </c>
      <c r="F11" s="110">
        <f t="shared" ref="F11:F15" si="2">D11*$B$6</f>
        <v>0</v>
      </c>
      <c r="G11" s="159">
        <f>IF('Certificación Mensual'!I18="SI","0",D11*$B$7)</f>
        <v>0</v>
      </c>
      <c r="H11" s="110">
        <f>+IF(AND(E11&gt;=$G$3,E11&lt;$H$3),D11*$I$3,IF(AND(E11&gt;=$G$4,E11&lt;$H$4),D11*$I$4,IF(AND(E11&gt;=$G$5,E11&lt;$H$5),D11*$I$5,IF(AND(E11&gt;=$G$6,E11&lt;$H$6),D11*$I$6,IF(AND(E11&gt;=$G$7,E11&lt;$H$7),D11*$I$7,IF(E11&gt;=$G$8,D11*$I$8,IF(E11&gt;=$H$8,Salario_Minimo*25*$I$8,0)))))))</f>
        <v>0</v>
      </c>
      <c r="I11" s="160">
        <f t="array" ref="I11">IF(ISBLANK('Certificación Mensual'!H22ESPACIOS),"0",'Certificación Mensual'!I23)</f>
        <v>0</v>
      </c>
      <c r="J11" s="161">
        <f t="shared" ref="J11:J15" si="3">IF(OR(I11="Riesgo 4",I11="Riesgo 5"),0,IFERROR(D11*INDEX($E$3:$E$7,MATCH(I11,$D$3:$D$7,0)),0))</f>
        <v>0</v>
      </c>
      <c r="K11" s="1"/>
      <c r="L11" s="1"/>
      <c r="M11" s="1"/>
      <c r="N11" s="1"/>
      <c r="O11" s="1"/>
      <c r="P11" s="1"/>
      <c r="Q11" s="1"/>
      <c r="R11" s="1"/>
      <c r="S11" s="1"/>
      <c r="T11" s="1"/>
      <c r="U11" s="1"/>
      <c r="V11" s="1"/>
      <c r="W11" s="1"/>
      <c r="X11" s="1"/>
      <c r="Y11" s="1"/>
      <c r="Z11" s="1"/>
    </row>
    <row r="12" spans="1:26" ht="12.75" customHeight="1">
      <c r="A12" s="155">
        <v>2</v>
      </c>
      <c r="B12" s="156" t="str">
        <f>IF(ISBLANK('Certificación Mensual'!E24),"",CONCATENATE('Certificación Mensual'!C24,"-",'Certificación Mensual'!D24,"-",'Certificación Mensual'!E24,"-",YEAR('Certificación Mensual'!G24)
))</f>
        <v/>
      </c>
      <c r="C12" s="157">
        <f>'Certificación Mensual'!B53</f>
        <v>0</v>
      </c>
      <c r="D12" s="157">
        <f t="shared" si="0"/>
        <v>0</v>
      </c>
      <c r="E12" s="158">
        <f t="shared" si="1"/>
        <v>0</v>
      </c>
      <c r="F12" s="110">
        <f t="shared" si="2"/>
        <v>0</v>
      </c>
      <c r="G12" s="110">
        <f>IF('Certificación Mensual'!I20="SI","0",D12*$B$7)</f>
        <v>0</v>
      </c>
      <c r="H12" s="110">
        <f>+IF(AND(E12&gt;=$G$3,E12&lt;$H$3),D12*$I$3,IF(AND(E12&gt;=$G$4,E12&lt;$H$4),D12*$I$4,IF(AND(E12&gt;=$G$5,E12&lt;$H$5),D12*$I$5,IF(AND(E12&gt;=$G$6,E12&lt;$H$6),D12*$I$6,IF(AND(E12&gt;=$G$7,E12&lt;$H$7),D12*$I$7,IF(E12&gt;=$G$8,D12*$I$8,IF(E12&gt;=$H$8,Salario_Minimo*25*$I$8,0)))))))</f>
        <v>0</v>
      </c>
      <c r="I12" s="160">
        <f t="array" ref="I12">IF(ISBLANK('Certificación Mensual'!H22ESPACIOS),"0",'Certificación Mensual'!I24)</f>
        <v>0</v>
      </c>
      <c r="J12" s="161">
        <f t="shared" si="3"/>
        <v>0</v>
      </c>
      <c r="K12" s="1"/>
      <c r="L12" s="1"/>
      <c r="M12" s="1"/>
      <c r="N12" s="1"/>
      <c r="O12" s="1"/>
      <c r="P12" s="1"/>
      <c r="Q12" s="1"/>
      <c r="R12" s="1"/>
      <c r="S12" s="1"/>
      <c r="T12" s="1"/>
      <c r="U12" s="1"/>
      <c r="V12" s="1"/>
      <c r="W12" s="1"/>
      <c r="X12" s="1"/>
      <c r="Y12" s="1"/>
      <c r="Z12" s="1"/>
    </row>
    <row r="13" spans="1:26" ht="12.75" customHeight="1">
      <c r="A13" s="155">
        <v>3</v>
      </c>
      <c r="B13" s="156" t="str">
        <f>IF(ISBLANK('Certificación Mensual'!E25),"",CONCATENATE('Certificación Mensual'!C25,"-",'Certificación Mensual'!D25,"-",'Certificación Mensual'!E25,"-",YEAR('Certificación Mensual'!G25)
))</f>
        <v/>
      </c>
      <c r="C13" s="157">
        <f>'Certificación Mensual'!B54</f>
        <v>0</v>
      </c>
      <c r="D13" s="157">
        <f t="shared" si="0"/>
        <v>0</v>
      </c>
      <c r="E13" s="158">
        <f t="shared" si="1"/>
        <v>0</v>
      </c>
      <c r="F13" s="110">
        <f t="shared" si="2"/>
        <v>0</v>
      </c>
      <c r="G13" s="110">
        <f>IF('Certificación Mensual'!I21="SI","0",D13*$B$7)</f>
        <v>0</v>
      </c>
      <c r="H13" s="110">
        <f>+IF(AND(E13&gt;=$G$3,E13&lt;$H$3),D13*$I$3,IF(AND(E13&gt;=$G$4,E13&lt;$H$4),D13*$I$4,IF(AND(E13&gt;=$G$5,E13&lt;$H$5),D13*$I$5,IF(AND(E13&gt;=$G$6,E13&lt;$H$6),D13*$I$6,IF(AND(E13&gt;=$G$7,E13&lt;$H$7),D13*$I$7,IF(E13&gt;=$G$8,D13*$I$8,IF(E13&gt;=$H$8,Salario_Minimo*25*$I$8,0)))))))</f>
        <v>0</v>
      </c>
      <c r="I13" s="160">
        <f t="array" ref="I13">IF(ISBLANK('Certificación Mensual'!H22ESPACIOS),"0",'Certificación Mensual'!I25)</f>
        <v>0</v>
      </c>
      <c r="J13" s="161">
        <f t="shared" si="3"/>
        <v>0</v>
      </c>
      <c r="K13" s="1"/>
      <c r="L13" s="1"/>
      <c r="M13" s="1"/>
      <c r="N13" s="1"/>
      <c r="O13" s="1"/>
      <c r="P13" s="1"/>
      <c r="Q13" s="1"/>
      <c r="R13" s="1"/>
      <c r="S13" s="1"/>
      <c r="T13" s="1"/>
      <c r="U13" s="1"/>
      <c r="V13" s="1"/>
      <c r="W13" s="1"/>
      <c r="X13" s="1"/>
      <c r="Y13" s="1"/>
      <c r="Z13" s="1"/>
    </row>
    <row r="14" spans="1:26" ht="19.5" customHeight="1">
      <c r="A14" s="155">
        <v>4</v>
      </c>
      <c r="B14" s="156" t="str">
        <f>IF(ISBLANK('Certificación Mensual'!E26),"",CONCATENATE('Certificación Mensual'!C26,"-",'Certificación Mensual'!D26,"-",'Certificación Mensual'!E26,"-",YEAR('Certificación Mensual'!G26)
))</f>
        <v/>
      </c>
      <c r="C14" s="157">
        <f>'Certificación Mensual'!B55</f>
        <v>0</v>
      </c>
      <c r="D14" s="157">
        <f t="shared" si="0"/>
        <v>0</v>
      </c>
      <c r="E14" s="158">
        <f t="shared" si="1"/>
        <v>0</v>
      </c>
      <c r="F14" s="110">
        <f t="shared" si="2"/>
        <v>0</v>
      </c>
      <c r="G14" s="110">
        <f>IF('Certificación Mensual'!I22="SI","0",D14*$B$7)</f>
        <v>0</v>
      </c>
      <c r="H14" s="110">
        <f>+IF(AND(E14&gt;=$G$3,E14&lt;$H$3),D14*$I$3,IF(AND(E14&gt;=$G$4,E14&lt;$H$4),D14*$I$4,IF(AND(E14&gt;=$G$5,E14&lt;$H$5),D14*$I$5,IF(AND(E14&gt;=$G$6,E14&lt;$H$6),D14*$I$6,IF(AND(E14&gt;=$G$7,E14&lt;$H$7),D14*$I$7,IF(E14&gt;=$G$8,D14*$I$8,IF(E14&gt;=$H$8,Salario_Minimo*25*$I$8,0)))))))</f>
        <v>0</v>
      </c>
      <c r="I14" s="160">
        <f t="array" ref="I14">IF(ISBLANK('Certificación Mensual'!H22ESPACIOS),"0",'Certificación Mensual'!I26)</f>
        <v>0</v>
      </c>
      <c r="J14" s="161">
        <f t="shared" si="3"/>
        <v>0</v>
      </c>
      <c r="K14" s="1"/>
      <c r="L14" s="1"/>
      <c r="M14" s="1"/>
      <c r="N14" s="1"/>
      <c r="O14" s="1"/>
      <c r="P14" s="1"/>
      <c r="Q14" s="1"/>
      <c r="R14" s="1"/>
      <c r="S14" s="1"/>
      <c r="T14" s="1"/>
      <c r="U14" s="1"/>
      <c r="V14" s="1"/>
      <c r="W14" s="1"/>
      <c r="X14" s="1"/>
      <c r="Y14" s="1"/>
      <c r="Z14" s="1"/>
    </row>
    <row r="15" spans="1:26" ht="22.5" customHeight="1">
      <c r="A15" s="155">
        <v>5</v>
      </c>
      <c r="B15" s="156" t="str">
        <f>IF(ISBLANK('Certificación Mensual'!E27),"",CONCATENATE('Certificación Mensual'!C27,"-",'Certificación Mensual'!D27,"-",'Certificación Mensual'!E27,"-",YEAR('Certificación Mensual'!G27)
))</f>
        <v/>
      </c>
      <c r="C15" s="157">
        <f>'Certificación Mensual'!B56</f>
        <v>0</v>
      </c>
      <c r="D15" s="157">
        <f t="shared" si="0"/>
        <v>0</v>
      </c>
      <c r="E15" s="158">
        <f t="shared" si="1"/>
        <v>0</v>
      </c>
      <c r="F15" s="110">
        <f t="shared" si="2"/>
        <v>0</v>
      </c>
      <c r="G15" s="110">
        <f>IF('Certificación Mensual'!I23="SI","0",D15*$B$7)</f>
        <v>0</v>
      </c>
      <c r="H15" s="110">
        <f>+IF(AND(E15&gt;=$G$3,E15&lt;$H$3),D15*$I$3,IF(AND(E15&gt;=$G$4,E15&lt;$H$4),D15*$I$4,IF(AND(E15&gt;=$G$5,E15&lt;$H$5),D15*$I$5,IF(AND(E15&gt;=$G$6,E15&lt;$H$6),D15*$I$6,IF(AND(E15&gt;=$G$7,E15&lt;$H$7),D15*$I$7,IF(E15&gt;=$G$8,D15*$I$8,IF(E15&gt;=$H$8,Salario_Minimo*25*$I$8,0)))))))</f>
        <v>0</v>
      </c>
      <c r="I15" s="160">
        <f t="array" ref="I15">IF(ISBLANK('Certificación Mensual'!H22ESPACIOS),"0",'Certificación Mensual'!I27)</f>
        <v>0</v>
      </c>
      <c r="J15" s="161">
        <f t="shared" si="3"/>
        <v>0</v>
      </c>
      <c r="K15" s="1"/>
      <c r="L15" s="1"/>
      <c r="M15" s="1"/>
      <c r="N15" s="1"/>
      <c r="O15" s="1"/>
      <c r="P15" s="1"/>
      <c r="Q15" s="1"/>
      <c r="R15" s="1"/>
      <c r="S15" s="1"/>
      <c r="T15" s="1"/>
      <c r="U15" s="1"/>
      <c r="V15" s="1"/>
      <c r="W15" s="1"/>
      <c r="X15" s="1"/>
      <c r="Y15" s="1"/>
      <c r="Z15" s="1"/>
    </row>
    <row r="16" spans="1:26" ht="27.75" customHeight="1">
      <c r="A16" s="238"/>
      <c r="B16" s="188"/>
      <c r="C16" s="162">
        <f>IF(SUM(C11:C15)&lt;Salario_Minimo,Salario_Minimo,SUM(C11:C15))</f>
        <v>1750905</v>
      </c>
      <c r="D16" s="162">
        <f>IF(SUM(D11:D15)=0,0,MAX(Salario_Minimo,MIN(SUM(D11:D15),25*Salario_Minimo)))</f>
        <v>0</v>
      </c>
      <c r="E16" s="163">
        <f>SUM(E11:E15)</f>
        <v>0</v>
      </c>
      <c r="F16" s="162">
        <f>IF(SUM(F11:F15)=0,0,MROUND(IF(SUM(F11:F15)&lt;Salario_Minimo*Salud,Salario_Minimo*Salud,IF(SUM(F11:F15)&gt;Salario_Minimo*Salud*25,Salario_Minimo*Salud*25,(SUM(F11:F15)))),100))</f>
        <v>0</v>
      </c>
      <c r="G16" s="164">
        <f>IF(SUM(G11:G15)=0,0,MROUND(IF('Certificación Mensual'!I18="SI","0",IF(SUM(G11:G15)&lt;Salario_Minimo*Pension,Salario_Minimo*Pension,IF(SUM(G11:G15)&gt;Salario_Minimo*Pension*25,Salario_Minimo*Pension*25,SUM(G11:G15)))),100))</f>
        <v>0</v>
      </c>
      <c r="H16" s="164">
        <f>MROUND(IF(AND(E16&gt;=$G$3,E16&lt;$H$3),D16*$I$3,IF(AND(E16&gt;=$G$4,E16&lt;$H$4),D16*$I$4,IF(AND(E16&gt;=$G$5,E16&lt;$H$5),D16*$I$5,IF(AND(E16&gt;=$G$6,E16&lt;$H$6),D16*$I$6,IF(AND(E16&gt;=$G$7,E16&lt;$H$7),D16*$I$7,IF(E16&gt;=$G$8,D16*$I$8,IF(E16&gt;=$H$8,Salario_Minimo*25*$I$8,0))))))),100)</f>
        <v>0</v>
      </c>
      <c r="I16" s="165"/>
      <c r="J16" s="165">
        <f t="array" ref="J16">MROUND(IFERROR(IF(MAX(IF((VALUE(RIGHT($I$11:$I$15,1))&gt;=1)*(VALUE(RIGHT($I$11:$I$15,1))&lt;=3),VALUE(RIGHT($I$11:$I$15,1)),0))=0,0,D16*INDEX($E$3:$E$7,MATCH("Riesgo "&amp;MAX(IF((VALUE(RIGHT($I$11:$I$15,1))&gt;=1)*(VALUE(RIGHT($I$11:$I$15,1))&lt;=3),VALUE(RIGHT($I$11:$I$15,1)),0)),$D$3:$D$7,0))),0),100)</f>
        <v>0</v>
      </c>
      <c r="K16" s="166"/>
      <c r="L16" s="167"/>
      <c r="M16" s="167"/>
      <c r="N16" s="167"/>
      <c r="O16" s="167"/>
      <c r="P16" s="167"/>
      <c r="Q16" s="167"/>
      <c r="R16" s="167"/>
      <c r="S16" s="167"/>
      <c r="T16" s="167"/>
      <c r="U16" s="167"/>
      <c r="V16" s="167"/>
      <c r="W16" s="167"/>
      <c r="X16" s="167"/>
      <c r="Y16" s="167"/>
      <c r="Z16" s="167"/>
    </row>
    <row r="17" spans="1:26" ht="27.75" customHeight="1">
      <c r="A17" s="168"/>
      <c r="B17" s="169"/>
      <c r="C17" s="169"/>
      <c r="D17" s="120"/>
      <c r="E17" s="169"/>
      <c r="F17" s="170"/>
      <c r="G17" s="170"/>
      <c r="H17" s="171"/>
      <c r="I17" s="171"/>
      <c r="J17" s="167"/>
      <c r="K17" s="167"/>
      <c r="L17" s="167"/>
      <c r="M17" s="167"/>
      <c r="N17" s="167"/>
      <c r="O17" s="167"/>
      <c r="P17" s="167"/>
      <c r="Q17" s="167"/>
      <c r="R17" s="167"/>
      <c r="S17" s="167"/>
      <c r="T17" s="167"/>
      <c r="U17" s="167"/>
      <c r="V17" s="167"/>
      <c r="W17" s="167"/>
      <c r="X17" s="167"/>
      <c r="Y17" s="167"/>
      <c r="Z17" s="167"/>
    </row>
    <row r="18" spans="1:26" ht="33.75" customHeight="1">
      <c r="A18" s="172" t="s">
        <v>134</v>
      </c>
      <c r="B18" s="162">
        <f>ROUND(C16,0)</f>
        <v>1750905</v>
      </c>
      <c r="C18" s="169"/>
      <c r="D18" s="120"/>
      <c r="E18" s="169"/>
      <c r="F18" s="170"/>
      <c r="G18" s="170"/>
      <c r="H18" s="171">
        <f>+IF(AND(E11&gt;=$G$3,E11&lt;$H$3),D11*$I$3,IF(AND(E11&gt;=$G$4,E11&lt;$H$4),D11*$I$4,IF(AND(E11&gt;=$G$5,E11&lt;$H$5),D11*$I$5,IF(AND(E11&gt;=$G$6,E11&lt;$H$6),D11*$I$6,IF(AND(E11&gt;=$G$7,E11&lt;$H$7),D11*$I$7,IF(E11&gt;=$G$8,D11*$I$8,IF(E11&gt;=$H$8,Salario_Minimo*25*$I$8,0)))))))</f>
        <v>0</v>
      </c>
      <c r="I18" s="171"/>
      <c r="J18" s="167"/>
      <c r="K18" s="167"/>
      <c r="L18" s="167"/>
      <c r="M18" s="167"/>
      <c r="N18" s="167"/>
      <c r="O18" s="167"/>
      <c r="P18" s="167"/>
      <c r="Q18" s="167"/>
      <c r="R18" s="167"/>
      <c r="S18" s="167"/>
      <c r="T18" s="167"/>
      <c r="U18" s="167"/>
      <c r="V18" s="167"/>
      <c r="W18" s="167"/>
      <c r="X18" s="167"/>
      <c r="Y18" s="167"/>
      <c r="Z18" s="167"/>
    </row>
    <row r="19" spans="1:26" ht="33" customHeight="1">
      <c r="A19" s="172" t="s">
        <v>135</v>
      </c>
      <c r="B19" s="173">
        <f>C16/UVT</f>
        <v>33.430805361438885</v>
      </c>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74"/>
      <c r="B20" s="175"/>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t="s">
        <v>136</v>
      </c>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76">
        <v>656600</v>
      </c>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1:E1"/>
    <mergeCell ref="G1:I1"/>
    <mergeCell ref="A16:B16"/>
  </mergeCell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Instrucciones</vt:lpstr>
      <vt:lpstr>Certificación Mensual</vt:lpstr>
      <vt:lpstr>Datos</vt:lpstr>
      <vt:lpstr>IBCmensualizado</vt:lpstr>
      <vt:lpstr>Pension</vt:lpstr>
      <vt:lpstr>Pensionado</vt:lpstr>
      <vt:lpstr>Porcentaje_IBC</vt:lpstr>
      <vt:lpstr>Salario_Minimo</vt:lpstr>
      <vt:lpstr>Salud</vt:lpstr>
      <vt:lpstr>UVT</vt:lpstr>
      <vt:lpstr>Vigencia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2026-03-02T13:24:00Z</cp:lastPrinted>
  <dcterms:created xsi:type="dcterms:W3CDTF">2026-02-24T14:53:40Z</dcterms:created>
  <dcterms:modified xsi:type="dcterms:W3CDTF">2026-09-16T03:40:12Z</dcterms:modified>
</cp:coreProperties>
</file>